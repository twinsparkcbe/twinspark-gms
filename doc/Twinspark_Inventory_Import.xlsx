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Brands" sheetId="2" state="visible" r:id="rId4"/>
    <sheet name="To Confirm" sheetId="3" state="visible" r:id="rId5"/>
  </sheets>
  <definedNames>
    <definedName function="false" hidden="true" localSheetId="0" name="_xlnm._FilterDatabase" vbProcedure="false">Items!$A$5:$L$95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<sst xmlns="http://schemas.openxmlformats.org/spreadsheetml/2006/main" count="670" uniqueCount="279">
  <si>
    <t xml:space="preserve">Twinspark GMS — Inventory Import</t>
  </si>
  <si>
    <t xml:space="preserve">One row per sellable SKU, flattened from the client's price list. Opening stock set to 50 for every item as instructed. Yellow cells must be filled before import.</t>
  </si>
  <si>
    <t xml:space="preserve">BLOCKER: inventory_items.purchase_price is NOT NULL with CHECK (&gt; 0) — the 17 rows marked BLOCKED cannot be inserted until a purchase price is supplied. See the 'To Confirm' tab.</t>
  </si>
  <si>
    <t xml:space="preserve">sku_code</t>
  </si>
  <si>
    <t xml:space="preserve">item_type</t>
  </si>
  <si>
    <t xml:space="preserve">product_name</t>
  </si>
  <si>
    <t xml:space="preserve">brand</t>
  </si>
  <si>
    <t xml:space="preserve">purchase_price</t>
  </si>
  <si>
    <t xml:space="preserve">selling_price</t>
  </si>
  <si>
    <t xml:space="preserve">margin_%</t>
  </si>
  <si>
    <t xml:space="preserve">available_quantity</t>
  </si>
  <si>
    <t xml:space="preserve">low_stock_threshold</t>
  </si>
  <si>
    <t xml:space="preserve">is_active</t>
  </si>
  <si>
    <t xml:space="preserve">stock_value_at_cost</t>
  </si>
  <si>
    <t xml:space="preserve">status</t>
  </si>
  <si>
    <t xml:space="preserve">OIL-1001</t>
  </si>
  <si>
    <t xml:space="preserve">ENGINE_OIL</t>
  </si>
  <si>
    <t xml:space="preserve">MOTUL - 7100</t>
  </si>
  <si>
    <t xml:space="preserve">Motul</t>
  </si>
  <si>
    <t xml:space="preserve">TRUE</t>
  </si>
  <si>
    <t xml:space="preserve">READY</t>
  </si>
  <si>
    <t xml:space="preserve">SPR-1001</t>
  </si>
  <si>
    <t xml:space="preserve">SPROCKET_KIT</t>
  </si>
  <si>
    <t xml:space="preserve">CHAIN SPROCKET - MT</t>
  </si>
  <si>
    <t xml:space="preserve">TO CONFIRM</t>
  </si>
  <si>
    <t xml:space="preserve">SPR-1002</t>
  </si>
  <si>
    <t xml:space="preserve">CHAIN SPROCKET - R15</t>
  </si>
  <si>
    <t xml:space="preserve">SPR-1003</t>
  </si>
  <si>
    <t xml:space="preserve">CHAIN SPROCKET - R15 V1/FZR</t>
  </si>
  <si>
    <t xml:space="preserve">SPR-1004</t>
  </si>
  <si>
    <t xml:space="preserve">CHAIN SPROCKET - NS</t>
  </si>
  <si>
    <t xml:space="preserve">SPR-1005</t>
  </si>
  <si>
    <t xml:space="preserve">CHAIN SPROCKET - RS</t>
  </si>
  <si>
    <t xml:space="preserve">BLOCKED — no purchase price</t>
  </si>
  <si>
    <t xml:space="preserve">SPR-1006</t>
  </si>
  <si>
    <t xml:space="preserve">CHAIN SPROCKET - DUKE 390 GEN1</t>
  </si>
  <si>
    <t xml:space="preserve">SPR-1007</t>
  </si>
  <si>
    <t xml:space="preserve">CHAIN SPROCKET - DUKE 390 GEN2</t>
  </si>
  <si>
    <t xml:space="preserve">SPR-1008</t>
  </si>
  <si>
    <t xml:space="preserve">CHAIN SPROCKET - DUKE 390 GEN3</t>
  </si>
  <si>
    <t xml:space="preserve">SPR-1009</t>
  </si>
  <si>
    <t xml:space="preserve">CHAIN SPROCKET - DUKE 200 GEN1</t>
  </si>
  <si>
    <t xml:space="preserve">SPR-1010</t>
  </si>
  <si>
    <t xml:space="preserve">CHAIN SPROCKET - DUKE 200 GEN2</t>
  </si>
  <si>
    <t xml:space="preserve">SPR-1011</t>
  </si>
  <si>
    <t xml:space="preserve">CHAIN SPROCKET - DUKE 200 GEN3</t>
  </si>
  <si>
    <t xml:space="preserve">SPR-1012</t>
  </si>
  <si>
    <t xml:space="preserve">CHAIN SPROCKET - DUKE 250 GEN1</t>
  </si>
  <si>
    <t xml:space="preserve">SPR-1013</t>
  </si>
  <si>
    <t xml:space="preserve">CHAIN SPROCKET - DUKE 250 GEN2</t>
  </si>
  <si>
    <t xml:space="preserve">SPR-1014</t>
  </si>
  <si>
    <t xml:space="preserve">CHAIN SPROCKET - DUKE 250 GEN3</t>
  </si>
  <si>
    <t xml:space="preserve">SPR-1015</t>
  </si>
  <si>
    <t xml:space="preserve">CHAIN SPROCKET - DUKE 125 GEN1</t>
  </si>
  <si>
    <t xml:space="preserve">SPR-1016</t>
  </si>
  <si>
    <t xml:space="preserve">CHAIN SPROCKET - DUKE 125 GEN2</t>
  </si>
  <si>
    <t xml:space="preserve">SPR-1017</t>
  </si>
  <si>
    <t xml:space="preserve">CHAIN SPROCKET - DUKE 125 GEN3</t>
  </si>
  <si>
    <t xml:space="preserve">SPR-1018</t>
  </si>
  <si>
    <t xml:space="preserve">CHAIN SPROCKET - RC 390 GEN1</t>
  </si>
  <si>
    <t xml:space="preserve">SPR-1019</t>
  </si>
  <si>
    <t xml:space="preserve">CHAIN SPROCKET - RC 390 GEN2</t>
  </si>
  <si>
    <t xml:space="preserve">SPR-1020</t>
  </si>
  <si>
    <t xml:space="preserve">CHAIN SPROCKET - RC 390 GEN3</t>
  </si>
  <si>
    <t xml:space="preserve">SPR-1021</t>
  </si>
  <si>
    <t xml:space="preserve">CHAIN SPROCKET - RC 200 GEN1</t>
  </si>
  <si>
    <t xml:space="preserve">SPR-1022</t>
  </si>
  <si>
    <t xml:space="preserve">CHAIN SPROCKET - RC 200 GEN2</t>
  </si>
  <si>
    <t xml:space="preserve">SPR-1023</t>
  </si>
  <si>
    <t xml:space="preserve">CHAIN SPROCKET - RC 200 GEN3</t>
  </si>
  <si>
    <t xml:space="preserve">SPR-1024</t>
  </si>
  <si>
    <t xml:space="preserve">CHAIN SPROCKET - RC 125 GEN1</t>
  </si>
  <si>
    <t xml:space="preserve">SPR-1025</t>
  </si>
  <si>
    <t xml:space="preserve">CHAIN SPROCKET - RC 125 GEN2</t>
  </si>
  <si>
    <t xml:space="preserve">SPR-1026</t>
  </si>
  <si>
    <t xml:space="preserve">CHAIN SPROCKET - RC 125 GEN3</t>
  </si>
  <si>
    <t xml:space="preserve">SPR-1027</t>
  </si>
  <si>
    <t xml:space="preserve">CHAIN SPROCKET - DOMINOR 250</t>
  </si>
  <si>
    <t xml:space="preserve">SPR-1028</t>
  </si>
  <si>
    <t xml:space="preserve">CHAIN SPROCKET - DOMINOR 400</t>
  </si>
  <si>
    <t xml:space="preserve">SPR-1029</t>
  </si>
  <si>
    <t xml:space="preserve">CHAIN SPROCKET - PULSER 220</t>
  </si>
  <si>
    <t xml:space="preserve">SPR-1030</t>
  </si>
  <si>
    <t xml:space="preserve">CHAIN SPROCKET - METOR/CLASSIC/HUNTER 35OCC</t>
  </si>
  <si>
    <t xml:space="preserve">SPR-1031</t>
  </si>
  <si>
    <t xml:space="preserve">CHAIN SPROCKET - HIMALAYAN 411</t>
  </si>
  <si>
    <t xml:space="preserve">SPR-1032</t>
  </si>
  <si>
    <t xml:space="preserve">CHAIN SPROCKET - HIMALAYAN 450</t>
  </si>
  <si>
    <t xml:space="preserve">BRK-1001</t>
  </si>
  <si>
    <t xml:space="preserve">BRAKE_PART</t>
  </si>
  <si>
    <t xml:space="preserve">BRAKE PAD - FRONT - MT</t>
  </si>
  <si>
    <t xml:space="preserve">BRK-1002</t>
  </si>
  <si>
    <t xml:space="preserve">BRAKE PAD - FRONT - R15</t>
  </si>
  <si>
    <t xml:space="preserve">BRK-1003</t>
  </si>
  <si>
    <t xml:space="preserve">BRAKE PAD - FRONT - NS</t>
  </si>
  <si>
    <t xml:space="preserve">BRK-1004</t>
  </si>
  <si>
    <t xml:space="preserve">BRAKE PAD - FRONT - RS</t>
  </si>
  <si>
    <t xml:space="preserve">BRK-1005</t>
  </si>
  <si>
    <t xml:space="preserve">BRAKE PAD - FRONT - KTM</t>
  </si>
  <si>
    <t xml:space="preserve">BRK-1006</t>
  </si>
  <si>
    <t xml:space="preserve">BRAKE PAD - FRONT - RC</t>
  </si>
  <si>
    <t xml:space="preserve">BRK-1007</t>
  </si>
  <si>
    <t xml:space="preserve">BRAKE PAD - BACK - MT</t>
  </si>
  <si>
    <t xml:space="preserve">BRK-1008</t>
  </si>
  <si>
    <t xml:space="preserve">BRAKE PAD - BACK - R15</t>
  </si>
  <si>
    <t xml:space="preserve">BRK-1009</t>
  </si>
  <si>
    <t xml:space="preserve">BRAKE PAD - BACK - NS</t>
  </si>
  <si>
    <t xml:space="preserve">BRK-1010</t>
  </si>
  <si>
    <t xml:space="preserve">BRAKE PAD - BACK - RS</t>
  </si>
  <si>
    <t xml:space="preserve">BRK-1011</t>
  </si>
  <si>
    <t xml:space="preserve">BRAKE PAD - BACK - KTM</t>
  </si>
  <si>
    <t xml:space="preserve">BRK-1012</t>
  </si>
  <si>
    <t xml:space="preserve">BRAKE PAD - BACK - RC</t>
  </si>
  <si>
    <t xml:space="preserve">LUB-1001</t>
  </si>
  <si>
    <t xml:space="preserve">LUBRICANT</t>
  </si>
  <si>
    <t xml:space="preserve">COOLANT</t>
  </si>
  <si>
    <t xml:space="preserve">BRK-1013</t>
  </si>
  <si>
    <t xml:space="preserve">DISC OIL</t>
  </si>
  <si>
    <t xml:space="preserve">LUB-1002</t>
  </si>
  <si>
    <t xml:space="preserve">CHAIN LUBE</t>
  </si>
  <si>
    <t xml:space="preserve">ACC-1001</t>
  </si>
  <si>
    <t xml:space="preserve">ACCESSORY</t>
  </si>
  <si>
    <t xml:space="preserve">INDICATOR</t>
  </si>
  <si>
    <t xml:space="preserve">ACC-1002</t>
  </si>
  <si>
    <t xml:space="preserve">NUMBER PLATE</t>
  </si>
  <si>
    <t xml:space="preserve">PRT-1001</t>
  </si>
  <si>
    <t xml:space="preserve">OTHER_SPARE_PART</t>
  </si>
  <si>
    <t xml:space="preserve">BOLT</t>
  </si>
  <si>
    <t xml:space="preserve">BRK-1014</t>
  </si>
  <si>
    <t xml:space="preserve">BRAKE LEVER</t>
  </si>
  <si>
    <t xml:space="preserve">PRT-1002</t>
  </si>
  <si>
    <t xml:space="preserve">CLUTCH LEVER</t>
  </si>
  <si>
    <t xml:space="preserve">PRT-1003</t>
  </si>
  <si>
    <t xml:space="preserve">ACCELERATOR CABLE</t>
  </si>
  <si>
    <t xml:space="preserve">ACC-1003</t>
  </si>
  <si>
    <t xml:space="preserve">HANDLE BAR</t>
  </si>
  <si>
    <t xml:space="preserve">ACC-1004</t>
  </si>
  <si>
    <t xml:space="preserve">TAIL TIDY</t>
  </si>
  <si>
    <t xml:space="preserve">LUB-1003</t>
  </si>
  <si>
    <t xml:space="preserve">FORK OIL</t>
  </si>
  <si>
    <t xml:space="preserve">PRT-1004</t>
  </si>
  <si>
    <t xml:space="preserve">SPARK PLUG - NORMAL</t>
  </si>
  <si>
    <t xml:space="preserve">PRT-1005</t>
  </si>
  <si>
    <t xml:space="preserve">SPARK PLUG - IRIDIUM</t>
  </si>
  <si>
    <t xml:space="preserve">PRT-1006</t>
  </si>
  <si>
    <t xml:space="preserve">AIR FILTER - YAMAHA</t>
  </si>
  <si>
    <t xml:space="preserve">Yamaha</t>
  </si>
  <si>
    <t xml:space="preserve">PRT-1007</t>
  </si>
  <si>
    <t xml:space="preserve">AIR FILTER - KTM</t>
  </si>
  <si>
    <t xml:space="preserve">Ktm</t>
  </si>
  <si>
    <t xml:space="preserve">PRT-1008</t>
  </si>
  <si>
    <t xml:space="preserve">AIR FILTER - BAJAJ</t>
  </si>
  <si>
    <t xml:space="preserve">Bajaj</t>
  </si>
  <si>
    <t xml:space="preserve">PRT-1009</t>
  </si>
  <si>
    <t xml:space="preserve">RUBBER BUSH - YAMAHA</t>
  </si>
  <si>
    <t xml:space="preserve">PRT-1010</t>
  </si>
  <si>
    <t xml:space="preserve">RUBBER BUSH - KTM</t>
  </si>
  <si>
    <t xml:space="preserve">PRT-1011</t>
  </si>
  <si>
    <t xml:space="preserve">RUBBER BUSH - BAJAJ</t>
  </si>
  <si>
    <t xml:space="preserve">PRT-1012</t>
  </si>
  <si>
    <t xml:space="preserve">OIL FILTER - Yamaha</t>
  </si>
  <si>
    <t xml:space="preserve">PRT-1013</t>
  </si>
  <si>
    <t xml:space="preserve">OIL FILTER - Ktm</t>
  </si>
  <si>
    <t xml:space="preserve">BRK-1015</t>
  </si>
  <si>
    <t xml:space="preserve">DISC PLATE</t>
  </si>
  <si>
    <t xml:space="preserve">LUB-1004</t>
  </si>
  <si>
    <t xml:space="preserve">PACKING PASTE</t>
  </si>
  <si>
    <t xml:space="preserve">LUB-1005</t>
  </si>
  <si>
    <t xml:space="preserve">ENGINE FLUSH</t>
  </si>
  <si>
    <t xml:space="preserve">LUB-1006</t>
  </si>
  <si>
    <t xml:space="preserve">CLEAN FLUSH</t>
  </si>
  <si>
    <t xml:space="preserve">CHN-1001</t>
  </si>
  <si>
    <t xml:space="preserve">CHAIN</t>
  </si>
  <si>
    <t xml:space="preserve">CHAIN LINK</t>
  </si>
  <si>
    <t xml:space="preserve">ACC-1005</t>
  </si>
  <si>
    <t xml:space="preserve">RC UNDERBELLY</t>
  </si>
  <si>
    <t xml:space="preserve">PRT-1014</t>
  </si>
  <si>
    <t xml:space="preserve">MOUTH</t>
  </si>
  <si>
    <t xml:space="preserve">PRT-1015</t>
  </si>
  <si>
    <t xml:space="preserve">WEEL BEARING</t>
  </si>
  <si>
    <t xml:space="preserve">PRT-1016</t>
  </si>
  <si>
    <t xml:space="preserve">KEY SET ASSAMBLY</t>
  </si>
  <si>
    <t xml:space="preserve">LUB-1007</t>
  </si>
  <si>
    <t xml:space="preserve">THROTTLE BODY CLEANER</t>
  </si>
  <si>
    <t xml:space="preserve">TYR-1001</t>
  </si>
  <si>
    <t xml:space="preserve">BRAND_NEW_TYRE</t>
  </si>
  <si>
    <t xml:space="preserve">TYRES - Alpha H1 - 110/70/R17</t>
  </si>
  <si>
    <t xml:space="preserve">Apollo</t>
  </si>
  <si>
    <t xml:space="preserve">TYR-1002</t>
  </si>
  <si>
    <t xml:space="preserve">TYRES - Alpha H1 - 140/70/R17</t>
  </si>
  <si>
    <t xml:space="preserve">TYR-1003</t>
  </si>
  <si>
    <t xml:space="preserve">TYRES - Alpha H1 - 150/60/R17</t>
  </si>
  <si>
    <t xml:space="preserve">TYR-1004</t>
  </si>
  <si>
    <t xml:space="preserve">TYRES - Alpha Front - 100/80/R17</t>
  </si>
  <si>
    <t xml:space="preserve">TYR-1005</t>
  </si>
  <si>
    <t xml:space="preserve">TYRES - Zoom Plus - 100/80/17</t>
  </si>
  <si>
    <t xml:space="preserve">Ceat</t>
  </si>
  <si>
    <t xml:space="preserve">TYR-1006</t>
  </si>
  <si>
    <t xml:space="preserve">TYRES - Ceat Sport Rad - 140/70/17</t>
  </si>
  <si>
    <t xml:space="preserve">TYR-1007</t>
  </si>
  <si>
    <t xml:space="preserve">TYRES - Zoom Rad X1TL66H - 150/60/17</t>
  </si>
  <si>
    <t xml:space="preserve">TYR-1008</t>
  </si>
  <si>
    <t xml:space="preserve">TYRES - Ceat MILAZETT41L - 90/100/10</t>
  </si>
  <si>
    <t xml:space="preserve">TYR-1009</t>
  </si>
  <si>
    <t xml:space="preserve">TYRES - Ceat zoom X3 - 90/90/10</t>
  </si>
  <si>
    <t xml:space="preserve">TYR-1010</t>
  </si>
  <si>
    <t xml:space="preserve">TYRES - Ceat M1LAZETT54S - 90/90/12</t>
  </si>
  <si>
    <t xml:space="preserve">TYR-1011</t>
  </si>
  <si>
    <t xml:space="preserve">TYRES - Ceat Zoom X3 - 90/90/12</t>
  </si>
  <si>
    <t xml:space="preserve">TYR-1012</t>
  </si>
  <si>
    <t xml:space="preserve">TYRES - PRS - 140/70/17</t>
  </si>
  <si>
    <t xml:space="preserve">Prs</t>
  </si>
  <si>
    <t xml:space="preserve">TYR-1013</t>
  </si>
  <si>
    <t xml:space="preserve">TYRES - Gabriel - 140/70/17</t>
  </si>
  <si>
    <t xml:space="preserve">Gabriel</t>
  </si>
  <si>
    <t xml:space="preserve">TOTAL</t>
  </si>
  <si>
    <t xml:space="preserve">Assumptions applied by Claude (change before import if wrong):</t>
  </si>
  <si>
    <t xml:space="preserve">• available_quantity = 50 for every SKU — instructed by the developer; NOT from the client's sheet, whose stock column was entirely empty.</t>
  </si>
  <si>
    <t xml:space="preserve">• low_stock_threshold = 5 — a placeholder. The DB default is 0, which would mean no item ever shows as Low Stock.</t>
  </si>
  <si>
    <t xml:space="preserve">• KTM sprocket rows priced '3428-3428-3308' were split into GEN1/GEN2/GEN3 as separate SKUs, since the kits are not interchangeable.</t>
  </si>
  <si>
    <t xml:space="preserve">• OIL FILTER '42-60'/'120-160' was split as Yamaha 42/120 and KTM 60/160, following the order the variant cell listed. UNVERIFIED.</t>
  </si>
  <si>
    <t xml:space="preserve">• sku_code numbering starts at 1001 to avoid colliding with the 8 demo SKUs in 0007_seed_inventory.sql.</t>
  </si>
  <si>
    <t xml:space="preserve">• item_type is Claude's mapping to your enum, not the client's wording. DISC OIL was put under BRAKE_PART rather than LUBRICANT — debatable.</t>
  </si>
  <si>
    <t xml:space="preserve">• RAPPING ROLL and DUKE 160 were dropped: no price of any kind in the source (90 rows here, not 92).</t>
  </si>
  <si>
    <t xml:space="preserve">Brands to create first</t>
  </si>
  <si>
    <t xml:space="preserve">Every inventory item requires a brand (app-level rule since 0004), and brands are scoped per item type (unique on name + item_type, 0006). These rows must exist before the Items tab can be imported. Yellow = the client's price list never named a brand.</t>
  </si>
  <si>
    <t xml:space="preserve">name</t>
  </si>
  <si>
    <t xml:space="preserve">source</t>
  </si>
  <si>
    <t xml:space="preserve">Named in the price list</t>
  </si>
  <si>
    <t xml:space="preserve">This is the bike make (fitment), used as the brand. Confirm that's how they think of it</t>
  </si>
  <si>
    <t xml:space="preserve">Not stated in the price list — ask the client which brand(s) they stock</t>
  </si>
  <si>
    <t xml:space="preserve">Questions for the client</t>
  </si>
  <si>
    <t xml:space="preserve">Ordered by severity. Everything marked BLOCKER stops the import; the rest risks wrong reports.</t>
  </si>
  <si>
    <t xml:space="preserve">#</t>
  </si>
  <si>
    <t xml:space="preserve">Severity</t>
  </si>
  <si>
    <t xml:space="preserve">Item</t>
  </si>
  <si>
    <t xml:space="preserve">What's wrong</t>
  </si>
  <si>
    <t xml:space="preserve">What we need</t>
  </si>
  <si>
    <t xml:space="preserve">BLOCKER</t>
  </si>
  <si>
    <t xml:space="preserve">17 sprocket kits</t>
  </si>
  <si>
    <t xml:space="preserve">Selling price given but purchase price blank. purchase_price is NOT NULL CHECK (&gt;0), so these rows literally cannot be inserted.</t>
  </si>
  <si>
    <t xml:space="preserve">Purchase price for: DOMINOR 400, DUKE 125 GEN1, DUKE 125 GEN2, DUKE 125 GEN3, HIMALAYAN 411, HIMALAYAN 450, METOR/CLASSIC/HUNTER 35OCC, RC 125 GEN1, RC 125 GEN2, RC 125 GEN3, RC 200 GEN1, RC 200 GEN2, RC 200 GEN3, RC 390 GEN1, RC 390 GEN2, RC 390 GEN3, RS</t>
  </si>
  <si>
    <t xml:space="preserve">All non-tyre items (68 SKUs)</t>
  </si>
  <si>
    <t xml:space="preserve">No brand anywhere in the price list, but the app requires a brand on every item and scopes brands per item type.</t>
  </si>
  <si>
    <t xml:space="preserve">Which brand(s) they stock for sprockets, brake pads, levers, cables, plugs, bearings etc.</t>
  </si>
  <si>
    <t xml:space="preserve">DUKE 160 · RAPPING ROLL</t>
  </si>
  <si>
    <t xml:space="preserve">No purchase or selling price at all. Dropped from this file.</t>
  </si>
  <si>
    <t xml:space="preserve">Both prices, or confirmation these aren't stocked.</t>
  </si>
  <si>
    <t xml:space="preserve">HIGH</t>
  </si>
  <si>
    <t xml:space="preserve">OIL FILTER</t>
  </si>
  <si>
    <t xml:space="preserve">One row read '42-60' purchase / '120-160' selling for 'YAMAHA, KTM'. Split in listed order — a guess.</t>
  </si>
  <si>
    <t xml:space="preserve">Which price belongs to Yamaha and which to KTM.</t>
  </si>
  <si>
    <t xml:space="preserve">RC 200 · RC 125 sprockets</t>
  </si>
  <si>
    <t xml:space="preserve">Marked GEN1, GEN2, GEN3 but given a single price, unlike Duke rows which give three.</t>
  </si>
  <si>
    <t xml:space="preserve">Whether all three generations really are the same price.</t>
  </si>
  <si>
    <t xml:space="preserve">Rs 20 cost, Rs 300 selling — a 1400% margin, and the item name is unclear.</t>
  </si>
  <si>
    <t xml:space="preserve">What this item actually is, and whether the prices are right.</t>
  </si>
  <si>
    <t xml:space="preserve">RUBBER BUSH (KTM)</t>
  </si>
  <si>
    <t xml:space="preserve">Rs 60 -&gt; Rs 482, while Bajaj at the identical Rs 60 cost sells for Rs 200.</t>
  </si>
  <si>
    <t xml:space="preserve">Confirm 482 isn't a typo for 182 or 282.</t>
  </si>
  <si>
    <t xml:space="preserve">APOLLO Alpha H1</t>
  </si>
  <si>
    <t xml:space="preserve">110/70/R17 costs Rs 4450 but the wider 140/70/R17 costs Rs 3300. A narrower tyre costing more is backwards.</t>
  </si>
  <si>
    <t xml:space="preserve">Confirm these two purchase prices aren't swapped.</t>
  </si>
  <si>
    <t xml:space="preserve">MEDIUM</t>
  </si>
  <si>
    <t xml:space="preserve">CLUTCH LEVER · KEY SET · APOLLO 150/60</t>
  </si>
  <si>
    <t xml:space="preserve">Margins of 7%, 12% and 11% against 30-50% elsewhere.</t>
  </si>
  <si>
    <t xml:space="preserve">Confirm the selling prices are current.</t>
  </si>
  <si>
    <t xml:space="preserve">Rs 120 -&gt; Rs 650 (442%), well outside the pattern of every other consumable.</t>
  </si>
  <si>
    <t xml:space="preserve">Confirm the selling price.</t>
  </si>
  <si>
    <t xml:space="preserve">Track Tyres</t>
  </si>
  <si>
    <t xml:space="preserve">Not in the price list at all, yet /order sells Track Tyres to the public.</t>
  </si>
  <si>
    <t xml:space="preserve">Track Tyre sizes and pricing — a separate list.</t>
  </si>
  <si>
    <t xml:space="preserve">LOW</t>
  </si>
  <si>
    <t xml:space="preserve">CEAT model codes</t>
  </si>
  <si>
    <t xml:space="preserve">'Ceat MILAZETT41L' and 'Ceat M1LAZETT54S' — the size ran into the model name in the original.</t>
  </si>
  <si>
    <t xml:space="preserve">Correct model names (likely Milaze TT41L / TT54S).</t>
  </si>
  <si>
    <t xml:space="preserve">Spelling</t>
  </si>
  <si>
    <t xml:space="preserve">WEEL BEARING, KEY SET ASSAMBLY, PULSER, DOMINOR, METOR, TAIL TIDY (flagged in their own sheet).</t>
  </si>
  <si>
    <t xml:space="preserve">Confirm the intended spellings before these become customer-facing invoice lines.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</si>
</sst>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i val="true"/>
      <sz val="9"/>
      <color rgb="FFDC262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sz val="10"/>
      <color rgb="FFDC262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EA580C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10"/>
      <color rgb="FF64748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E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F17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EF2F2"/>
          <bgColor rgb="FF000000"/>
        </patternFill>
      </fill>
    </dxf>
    <dxf>
      <fill>
        <patternFill patternType="solid">
          <fgColor rgb="FFDC2626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2F2"/>
      <rgbColor rgb="FFE2E8F0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580C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4755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5.0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15" hidden="false" customHeight="false" outlineLevel="0" collapsed="false">
      <c r="A6" s="5" t="s">
        <v>15</v>
      </c>
      <c r="B6" s="6" t="s">
        <v>16</v>
      </c>
      <c r="C6" s="5" t="s">
        <v>17</v>
      </c>
      <c r="D6" s="5" t="s">
        <v>18</v>
      </c>
      <c r="E6" s="7" t="n">
        <v>772</v>
      </c>
      <c r="F6" s="7" t="n">
        <v>1100</v>
      </c>
      <c r="G6" s="8" t="n">
        <f aca="false">IFERROR((F6-E6)/E6,"")</f>
        <v>0.424870466321244</v>
      </c>
      <c r="H6" s="5" t="n">
        <v>50</v>
      </c>
      <c r="I6" s="5" t="n">
        <v>5</v>
      </c>
      <c r="J6" s="5" t="s">
        <v>19</v>
      </c>
      <c r="K6" s="7" t="n">
        <f aca="false">IFERROR(E6*H6,"")</f>
        <v>38600</v>
      </c>
      <c r="L6" s="5" t="s">
        <v>20</v>
      </c>
    </row>
    <row r="7" customFormat="false" ht="15" hidden="false" customHeight="false" outlineLevel="0" collapsed="false">
      <c r="A7" s="5" t="s">
        <v>21</v>
      </c>
      <c r="B7" s="6" t="s">
        <v>22</v>
      </c>
      <c r="C7" s="5" t="s">
        <v>23</v>
      </c>
      <c r="D7" s="9" t="s">
        <v>24</v>
      </c>
      <c r="E7" s="7" t="n">
        <v>1890</v>
      </c>
      <c r="F7" s="7" t="n">
        <v>2718</v>
      </c>
      <c r="G7" s="8" t="n">
        <f aca="false">IFERROR((F7-E7)/E7,"")</f>
        <v>0.438095238095238</v>
      </c>
      <c r="H7" s="5" t="n">
        <v>50</v>
      </c>
      <c r="I7" s="5" t="n">
        <v>5</v>
      </c>
      <c r="J7" s="5" t="s">
        <v>19</v>
      </c>
      <c r="K7" s="7" t="n">
        <f aca="false">IFERROR(E7*H7,"")</f>
        <v>94500</v>
      </c>
      <c r="L7" s="5" t="s">
        <v>20</v>
      </c>
    </row>
    <row r="8" customFormat="false" ht="15" hidden="false" customHeight="false" outlineLevel="0" collapsed="false">
      <c r="A8" s="5" t="s">
        <v>25</v>
      </c>
      <c r="B8" s="6" t="s">
        <v>22</v>
      </c>
      <c r="C8" s="5" t="s">
        <v>26</v>
      </c>
      <c r="D8" s="9" t="s">
        <v>24</v>
      </c>
      <c r="E8" s="7" t="n">
        <v>1596</v>
      </c>
      <c r="F8" s="7" t="n">
        <v>2218</v>
      </c>
      <c r="G8" s="8" t="n">
        <f aca="false">IFERROR((F8-E8)/E8,"")</f>
        <v>0.389724310776942</v>
      </c>
      <c r="H8" s="5" t="n">
        <v>50</v>
      </c>
      <c r="I8" s="5" t="n">
        <v>5</v>
      </c>
      <c r="J8" s="5" t="s">
        <v>19</v>
      </c>
      <c r="K8" s="7" t="n">
        <f aca="false">IFERROR(E8*H8,"")</f>
        <v>79800</v>
      </c>
      <c r="L8" s="5" t="s">
        <v>20</v>
      </c>
    </row>
    <row r="9" customFormat="false" ht="15" hidden="false" customHeight="false" outlineLevel="0" collapsed="false">
      <c r="A9" s="5" t="s">
        <v>27</v>
      </c>
      <c r="B9" s="6" t="s">
        <v>22</v>
      </c>
      <c r="C9" s="5" t="s">
        <v>28</v>
      </c>
      <c r="D9" s="9" t="s">
        <v>24</v>
      </c>
      <c r="E9" s="7" t="n">
        <v>1923</v>
      </c>
      <c r="F9" s="7" t="n">
        <v>2500</v>
      </c>
      <c r="G9" s="8" t="n">
        <f aca="false">IFERROR((F9-E9)/E9,"")</f>
        <v>0.300052002080083</v>
      </c>
      <c r="H9" s="5" t="n">
        <v>50</v>
      </c>
      <c r="I9" s="5" t="n">
        <v>5</v>
      </c>
      <c r="J9" s="5" t="s">
        <v>19</v>
      </c>
      <c r="K9" s="7" t="n">
        <f aca="false">IFERROR(E9*H9,"")</f>
        <v>96150</v>
      </c>
      <c r="L9" s="5" t="s">
        <v>20</v>
      </c>
    </row>
    <row r="10" customFormat="false" ht="15" hidden="false" customHeight="false" outlineLevel="0" collapsed="false">
      <c r="A10" s="5" t="s">
        <v>29</v>
      </c>
      <c r="B10" s="6" t="s">
        <v>22</v>
      </c>
      <c r="C10" s="5" t="s">
        <v>30</v>
      </c>
      <c r="D10" s="9" t="s">
        <v>24</v>
      </c>
      <c r="E10" s="7" t="n">
        <v>1843</v>
      </c>
      <c r="F10" s="7" t="n">
        <v>2703</v>
      </c>
      <c r="G10" s="8" t="n">
        <f aca="false">IFERROR((F10-E10)/E10,"")</f>
        <v>0.466630493760174</v>
      </c>
      <c r="H10" s="5" t="n">
        <v>50</v>
      </c>
      <c r="I10" s="5" t="n">
        <v>5</v>
      </c>
      <c r="J10" s="5" t="s">
        <v>19</v>
      </c>
      <c r="K10" s="7" t="n">
        <f aca="false">IFERROR(E10*H10,"")</f>
        <v>92150</v>
      </c>
      <c r="L10" s="5" t="s">
        <v>20</v>
      </c>
    </row>
    <row r="11" customFormat="false" ht="15" hidden="false" customHeight="false" outlineLevel="0" collapsed="false">
      <c r="A11" s="5" t="s">
        <v>31</v>
      </c>
      <c r="B11" s="6" t="s">
        <v>22</v>
      </c>
      <c r="C11" s="5" t="s">
        <v>32</v>
      </c>
      <c r="D11" s="9" t="s">
        <v>24</v>
      </c>
      <c r="E11" s="10"/>
      <c r="F11" s="7" t="n">
        <v>2591</v>
      </c>
      <c r="G11" s="8" t="str">
        <f aca="false">IFERROR((F11-E11)/E11,"")</f>
        <v/>
      </c>
      <c r="H11" s="5" t="n">
        <v>50</v>
      </c>
      <c r="I11" s="5" t="n">
        <v>5</v>
      </c>
      <c r="J11" s="5" t="s">
        <v>19</v>
      </c>
      <c r="K11" s="7" t="n">
        <f aca="false">IFERROR(E11*H11,"")</f>
        <v>0</v>
      </c>
      <c r="L11" s="11" t="s">
        <v>33</v>
      </c>
    </row>
    <row r="12" customFormat="false" ht="15" hidden="false" customHeight="false" outlineLevel="0" collapsed="false">
      <c r="A12" s="5" t="s">
        <v>34</v>
      </c>
      <c r="B12" s="6" t="s">
        <v>22</v>
      </c>
      <c r="C12" s="5" t="s">
        <v>35</v>
      </c>
      <c r="D12" s="9" t="s">
        <v>24</v>
      </c>
      <c r="E12" s="7" t="n">
        <v>2468</v>
      </c>
      <c r="F12" s="7" t="n">
        <v>3428</v>
      </c>
      <c r="G12" s="8" t="n">
        <f aca="false">IFERROR((F12-E12)/E12,"")</f>
        <v>0.388978930307942</v>
      </c>
      <c r="H12" s="5" t="n">
        <v>50</v>
      </c>
      <c r="I12" s="5" t="n">
        <v>5</v>
      </c>
      <c r="J12" s="5" t="s">
        <v>19</v>
      </c>
      <c r="K12" s="7" t="n">
        <f aca="false">IFERROR(E12*H12,"")</f>
        <v>123400</v>
      </c>
      <c r="L12" s="5" t="s">
        <v>20</v>
      </c>
    </row>
    <row r="13" customFormat="false" ht="15" hidden="false" customHeight="false" outlineLevel="0" collapsed="false">
      <c r="A13" s="5" t="s">
        <v>36</v>
      </c>
      <c r="B13" s="6" t="s">
        <v>22</v>
      </c>
      <c r="C13" s="5" t="s">
        <v>37</v>
      </c>
      <c r="D13" s="9" t="s">
        <v>24</v>
      </c>
      <c r="E13" s="7" t="n">
        <v>2468</v>
      </c>
      <c r="F13" s="7" t="n">
        <v>3428</v>
      </c>
      <c r="G13" s="8" t="n">
        <f aca="false">IFERROR((F13-E13)/E13,"")</f>
        <v>0.388978930307942</v>
      </c>
      <c r="H13" s="5" t="n">
        <v>50</v>
      </c>
      <c r="I13" s="5" t="n">
        <v>5</v>
      </c>
      <c r="J13" s="5" t="s">
        <v>19</v>
      </c>
      <c r="K13" s="7" t="n">
        <f aca="false">IFERROR(E13*H13,"")</f>
        <v>123400</v>
      </c>
      <c r="L13" s="5" t="s">
        <v>20</v>
      </c>
    </row>
    <row r="14" customFormat="false" ht="15" hidden="false" customHeight="false" outlineLevel="0" collapsed="false">
      <c r="A14" s="5" t="s">
        <v>38</v>
      </c>
      <c r="B14" s="6" t="s">
        <v>22</v>
      </c>
      <c r="C14" s="5" t="s">
        <v>39</v>
      </c>
      <c r="D14" s="9" t="s">
        <v>24</v>
      </c>
      <c r="E14" s="7" t="n">
        <v>2468</v>
      </c>
      <c r="F14" s="7" t="n">
        <v>3308</v>
      </c>
      <c r="G14" s="8" t="n">
        <f aca="false">IFERROR((F14-E14)/E14,"")</f>
        <v>0.340356564019449</v>
      </c>
      <c r="H14" s="5" t="n">
        <v>50</v>
      </c>
      <c r="I14" s="5" t="n">
        <v>5</v>
      </c>
      <c r="J14" s="5" t="s">
        <v>19</v>
      </c>
      <c r="K14" s="7" t="n">
        <f aca="false">IFERROR(E14*H14,"")</f>
        <v>123400</v>
      </c>
      <c r="L14" s="5" t="s">
        <v>20</v>
      </c>
    </row>
    <row r="15" customFormat="false" ht="15" hidden="false" customHeight="false" outlineLevel="0" collapsed="false">
      <c r="A15" s="5" t="s">
        <v>40</v>
      </c>
      <c r="B15" s="6" t="s">
        <v>22</v>
      </c>
      <c r="C15" s="5" t="s">
        <v>41</v>
      </c>
      <c r="D15" s="9" t="s">
        <v>24</v>
      </c>
      <c r="E15" s="7" t="n">
        <v>2330</v>
      </c>
      <c r="F15" s="7" t="n">
        <v>3236</v>
      </c>
      <c r="G15" s="8" t="n">
        <f aca="false">IFERROR((F15-E15)/E15,"")</f>
        <v>0.388841201716738</v>
      </c>
      <c r="H15" s="5" t="n">
        <v>50</v>
      </c>
      <c r="I15" s="5" t="n">
        <v>5</v>
      </c>
      <c r="J15" s="5" t="s">
        <v>19</v>
      </c>
      <c r="K15" s="7" t="n">
        <f aca="false">IFERROR(E15*H15,"")</f>
        <v>116500</v>
      </c>
      <c r="L15" s="5" t="s">
        <v>20</v>
      </c>
    </row>
    <row r="16" customFormat="false" ht="15" hidden="false" customHeight="false" outlineLevel="0" collapsed="false">
      <c r="A16" s="5" t="s">
        <v>42</v>
      </c>
      <c r="B16" s="6" t="s">
        <v>22</v>
      </c>
      <c r="C16" s="5" t="s">
        <v>43</v>
      </c>
      <c r="D16" s="9" t="s">
        <v>24</v>
      </c>
      <c r="E16" s="7" t="n">
        <v>2330</v>
      </c>
      <c r="F16" s="7" t="n">
        <v>3236</v>
      </c>
      <c r="G16" s="8" t="n">
        <f aca="false">IFERROR((F16-E16)/E16,"")</f>
        <v>0.388841201716738</v>
      </c>
      <c r="H16" s="5" t="n">
        <v>50</v>
      </c>
      <c r="I16" s="5" t="n">
        <v>5</v>
      </c>
      <c r="J16" s="5" t="s">
        <v>19</v>
      </c>
      <c r="K16" s="7" t="n">
        <f aca="false">IFERROR(E16*H16,"")</f>
        <v>116500</v>
      </c>
      <c r="L16" s="5" t="s">
        <v>20</v>
      </c>
    </row>
    <row r="17" customFormat="false" ht="15" hidden="false" customHeight="false" outlineLevel="0" collapsed="false">
      <c r="A17" s="5" t="s">
        <v>44</v>
      </c>
      <c r="B17" s="6" t="s">
        <v>22</v>
      </c>
      <c r="C17" s="5" t="s">
        <v>45</v>
      </c>
      <c r="D17" s="9" t="s">
        <v>24</v>
      </c>
      <c r="E17" s="7" t="n">
        <v>2330</v>
      </c>
      <c r="F17" s="7" t="n">
        <v>3236</v>
      </c>
      <c r="G17" s="8" t="n">
        <f aca="false">IFERROR((F17-E17)/E17,"")</f>
        <v>0.388841201716738</v>
      </c>
      <c r="H17" s="5" t="n">
        <v>50</v>
      </c>
      <c r="I17" s="5" t="n">
        <v>5</v>
      </c>
      <c r="J17" s="5" t="s">
        <v>19</v>
      </c>
      <c r="K17" s="7" t="n">
        <f aca="false">IFERROR(E17*H17,"")</f>
        <v>116500</v>
      </c>
      <c r="L17" s="5" t="s">
        <v>20</v>
      </c>
    </row>
    <row r="18" customFormat="false" ht="15" hidden="false" customHeight="false" outlineLevel="0" collapsed="false">
      <c r="A18" s="5" t="s">
        <v>46</v>
      </c>
      <c r="B18" s="6" t="s">
        <v>22</v>
      </c>
      <c r="C18" s="5" t="s">
        <v>47</v>
      </c>
      <c r="D18" s="9" t="s">
        <v>24</v>
      </c>
      <c r="E18" s="7" t="n">
        <v>1773</v>
      </c>
      <c r="F18" s="7" t="n">
        <v>3672</v>
      </c>
      <c r="G18" s="8" t="n">
        <f aca="false">IFERROR((F18-E18)/E18,"")</f>
        <v>1.07106598984772</v>
      </c>
      <c r="H18" s="5" t="n">
        <v>50</v>
      </c>
      <c r="I18" s="5" t="n">
        <v>5</v>
      </c>
      <c r="J18" s="5" t="s">
        <v>19</v>
      </c>
      <c r="K18" s="7" t="n">
        <f aca="false">IFERROR(E18*H18,"")</f>
        <v>88650</v>
      </c>
      <c r="L18" s="5" t="s">
        <v>20</v>
      </c>
    </row>
    <row r="19" customFormat="false" ht="15" hidden="false" customHeight="false" outlineLevel="0" collapsed="false">
      <c r="A19" s="5" t="s">
        <v>48</v>
      </c>
      <c r="B19" s="6" t="s">
        <v>22</v>
      </c>
      <c r="C19" s="5" t="s">
        <v>49</v>
      </c>
      <c r="D19" s="9" t="s">
        <v>24</v>
      </c>
      <c r="E19" s="7" t="n">
        <v>1773</v>
      </c>
      <c r="F19" s="7" t="n">
        <v>3672</v>
      </c>
      <c r="G19" s="8" t="n">
        <f aca="false">IFERROR((F19-E19)/E19,"")</f>
        <v>1.07106598984772</v>
      </c>
      <c r="H19" s="5" t="n">
        <v>50</v>
      </c>
      <c r="I19" s="5" t="n">
        <v>5</v>
      </c>
      <c r="J19" s="5" t="s">
        <v>19</v>
      </c>
      <c r="K19" s="7" t="n">
        <f aca="false">IFERROR(E19*H19,"")</f>
        <v>88650</v>
      </c>
      <c r="L19" s="5" t="s">
        <v>20</v>
      </c>
    </row>
    <row r="20" customFormat="false" ht="15" hidden="false" customHeight="false" outlineLevel="0" collapsed="false">
      <c r="A20" s="5" t="s">
        <v>50</v>
      </c>
      <c r="B20" s="6" t="s">
        <v>22</v>
      </c>
      <c r="C20" s="5" t="s">
        <v>51</v>
      </c>
      <c r="D20" s="9" t="s">
        <v>24</v>
      </c>
      <c r="E20" s="7" t="n">
        <v>1773</v>
      </c>
      <c r="F20" s="7" t="n">
        <v>3339</v>
      </c>
      <c r="G20" s="8" t="n">
        <f aca="false">IFERROR((F20-E20)/E20,"")</f>
        <v>0.883248730964467</v>
      </c>
      <c r="H20" s="5" t="n">
        <v>50</v>
      </c>
      <c r="I20" s="5" t="n">
        <v>5</v>
      </c>
      <c r="J20" s="5" t="s">
        <v>19</v>
      </c>
      <c r="K20" s="7" t="n">
        <f aca="false">IFERROR(E20*H20,"")</f>
        <v>88650</v>
      </c>
      <c r="L20" s="5" t="s">
        <v>20</v>
      </c>
    </row>
    <row r="21" customFormat="false" ht="15" hidden="false" customHeight="false" outlineLevel="0" collapsed="false">
      <c r="A21" s="5" t="s">
        <v>52</v>
      </c>
      <c r="B21" s="6" t="s">
        <v>22</v>
      </c>
      <c r="C21" s="5" t="s">
        <v>53</v>
      </c>
      <c r="D21" s="9" t="s">
        <v>24</v>
      </c>
      <c r="E21" s="10"/>
      <c r="F21" s="7" t="n">
        <v>2867</v>
      </c>
      <c r="G21" s="8" t="str">
        <f aca="false">IFERROR((F21-E21)/E21,"")</f>
        <v/>
      </c>
      <c r="H21" s="5" t="n">
        <v>50</v>
      </c>
      <c r="I21" s="5" t="n">
        <v>5</v>
      </c>
      <c r="J21" s="5" t="s">
        <v>19</v>
      </c>
      <c r="K21" s="7" t="n">
        <f aca="false">IFERROR(E21*H21,"")</f>
        <v>0</v>
      </c>
      <c r="L21" s="11" t="s">
        <v>33</v>
      </c>
    </row>
    <row r="22" customFormat="false" ht="15" hidden="false" customHeight="false" outlineLevel="0" collapsed="false">
      <c r="A22" s="5" t="s">
        <v>54</v>
      </c>
      <c r="B22" s="6" t="s">
        <v>22</v>
      </c>
      <c r="C22" s="5" t="s">
        <v>55</v>
      </c>
      <c r="D22" s="9" t="s">
        <v>24</v>
      </c>
      <c r="E22" s="10"/>
      <c r="F22" s="7" t="n">
        <v>2867</v>
      </c>
      <c r="G22" s="8" t="str">
        <f aca="false">IFERROR((F22-E22)/E22,"")</f>
        <v/>
      </c>
      <c r="H22" s="5" t="n">
        <v>50</v>
      </c>
      <c r="I22" s="5" t="n">
        <v>5</v>
      </c>
      <c r="J22" s="5" t="s">
        <v>19</v>
      </c>
      <c r="K22" s="7" t="n">
        <f aca="false">IFERROR(E22*H22,"")</f>
        <v>0</v>
      </c>
      <c r="L22" s="11" t="s">
        <v>33</v>
      </c>
    </row>
    <row r="23" customFormat="false" ht="15" hidden="false" customHeight="false" outlineLevel="0" collapsed="false">
      <c r="A23" s="5" t="s">
        <v>56</v>
      </c>
      <c r="B23" s="6" t="s">
        <v>22</v>
      </c>
      <c r="C23" s="5" t="s">
        <v>57</v>
      </c>
      <c r="D23" s="9" t="s">
        <v>24</v>
      </c>
      <c r="E23" s="10"/>
      <c r="F23" s="7" t="n">
        <v>2867</v>
      </c>
      <c r="G23" s="8" t="str">
        <f aca="false">IFERROR((F23-E23)/E23,"")</f>
        <v/>
      </c>
      <c r="H23" s="5" t="n">
        <v>50</v>
      </c>
      <c r="I23" s="5" t="n">
        <v>5</v>
      </c>
      <c r="J23" s="5" t="s">
        <v>19</v>
      </c>
      <c r="K23" s="7" t="n">
        <f aca="false">IFERROR(E23*H23,"")</f>
        <v>0</v>
      </c>
      <c r="L23" s="11" t="s">
        <v>33</v>
      </c>
    </row>
    <row r="24" customFormat="false" ht="15" hidden="false" customHeight="false" outlineLevel="0" collapsed="false">
      <c r="A24" s="5" t="s">
        <v>58</v>
      </c>
      <c r="B24" s="6" t="s">
        <v>22</v>
      </c>
      <c r="C24" s="5" t="s">
        <v>59</v>
      </c>
      <c r="D24" s="9" t="s">
        <v>24</v>
      </c>
      <c r="E24" s="10"/>
      <c r="F24" s="7" t="n">
        <v>3428</v>
      </c>
      <c r="G24" s="8" t="str">
        <f aca="false">IFERROR((F24-E24)/E24,"")</f>
        <v/>
      </c>
      <c r="H24" s="5" t="n">
        <v>50</v>
      </c>
      <c r="I24" s="5" t="n">
        <v>5</v>
      </c>
      <c r="J24" s="5" t="s">
        <v>19</v>
      </c>
      <c r="K24" s="7" t="n">
        <f aca="false">IFERROR(E24*H24,"")</f>
        <v>0</v>
      </c>
      <c r="L24" s="11" t="s">
        <v>33</v>
      </c>
    </row>
    <row r="25" customFormat="false" ht="15" hidden="false" customHeight="false" outlineLevel="0" collapsed="false">
      <c r="A25" s="5" t="s">
        <v>60</v>
      </c>
      <c r="B25" s="6" t="s">
        <v>22</v>
      </c>
      <c r="C25" s="5" t="s">
        <v>61</v>
      </c>
      <c r="D25" s="9" t="s">
        <v>24</v>
      </c>
      <c r="E25" s="10"/>
      <c r="F25" s="7" t="n">
        <v>3428</v>
      </c>
      <c r="G25" s="8" t="str">
        <f aca="false">IFERROR((F25-E25)/E25,"")</f>
        <v/>
      </c>
      <c r="H25" s="5" t="n">
        <v>50</v>
      </c>
      <c r="I25" s="5" t="n">
        <v>5</v>
      </c>
      <c r="J25" s="5" t="s">
        <v>19</v>
      </c>
      <c r="K25" s="7" t="n">
        <f aca="false">IFERROR(E25*H25,"")</f>
        <v>0</v>
      </c>
      <c r="L25" s="11" t="s">
        <v>33</v>
      </c>
    </row>
    <row r="26" customFormat="false" ht="15" hidden="false" customHeight="false" outlineLevel="0" collapsed="false">
      <c r="A26" s="5" t="s">
        <v>62</v>
      </c>
      <c r="B26" s="6" t="s">
        <v>22</v>
      </c>
      <c r="C26" s="5" t="s">
        <v>63</v>
      </c>
      <c r="D26" s="9" t="s">
        <v>24</v>
      </c>
      <c r="E26" s="10"/>
      <c r="F26" s="7" t="n">
        <v>3308</v>
      </c>
      <c r="G26" s="8" t="str">
        <f aca="false">IFERROR((F26-E26)/E26,"")</f>
        <v/>
      </c>
      <c r="H26" s="5" t="n">
        <v>50</v>
      </c>
      <c r="I26" s="5" t="n">
        <v>5</v>
      </c>
      <c r="J26" s="5" t="s">
        <v>19</v>
      </c>
      <c r="K26" s="7" t="n">
        <f aca="false">IFERROR(E26*H26,"")</f>
        <v>0</v>
      </c>
      <c r="L26" s="11" t="s">
        <v>33</v>
      </c>
    </row>
    <row r="27" customFormat="false" ht="15" hidden="false" customHeight="false" outlineLevel="0" collapsed="false">
      <c r="A27" s="5" t="s">
        <v>64</v>
      </c>
      <c r="B27" s="6" t="s">
        <v>22</v>
      </c>
      <c r="C27" s="5" t="s">
        <v>65</v>
      </c>
      <c r="D27" s="9" t="s">
        <v>24</v>
      </c>
      <c r="E27" s="10"/>
      <c r="F27" s="7" t="n">
        <v>2584</v>
      </c>
      <c r="G27" s="8" t="str">
        <f aca="false">IFERROR((F27-E27)/E27,"")</f>
        <v/>
      </c>
      <c r="H27" s="5" t="n">
        <v>50</v>
      </c>
      <c r="I27" s="5" t="n">
        <v>5</v>
      </c>
      <c r="J27" s="5" t="s">
        <v>19</v>
      </c>
      <c r="K27" s="7" t="n">
        <f aca="false">IFERROR(E27*H27,"")</f>
        <v>0</v>
      </c>
      <c r="L27" s="11" t="s">
        <v>33</v>
      </c>
    </row>
    <row r="28" customFormat="false" ht="15" hidden="false" customHeight="false" outlineLevel="0" collapsed="false">
      <c r="A28" s="5" t="s">
        <v>66</v>
      </c>
      <c r="B28" s="6" t="s">
        <v>22</v>
      </c>
      <c r="C28" s="5" t="s">
        <v>67</v>
      </c>
      <c r="D28" s="9" t="s">
        <v>24</v>
      </c>
      <c r="E28" s="10"/>
      <c r="F28" s="7" t="n">
        <v>2584</v>
      </c>
      <c r="G28" s="8" t="str">
        <f aca="false">IFERROR((F28-E28)/E28,"")</f>
        <v/>
      </c>
      <c r="H28" s="5" t="n">
        <v>50</v>
      </c>
      <c r="I28" s="5" t="n">
        <v>5</v>
      </c>
      <c r="J28" s="5" t="s">
        <v>19</v>
      </c>
      <c r="K28" s="7" t="n">
        <f aca="false">IFERROR(E28*H28,"")</f>
        <v>0</v>
      </c>
      <c r="L28" s="11" t="s">
        <v>33</v>
      </c>
    </row>
    <row r="29" customFormat="false" ht="15" hidden="false" customHeight="false" outlineLevel="0" collapsed="false">
      <c r="A29" s="5" t="s">
        <v>68</v>
      </c>
      <c r="B29" s="6" t="s">
        <v>22</v>
      </c>
      <c r="C29" s="5" t="s">
        <v>69</v>
      </c>
      <c r="D29" s="9" t="s">
        <v>24</v>
      </c>
      <c r="E29" s="10"/>
      <c r="F29" s="7" t="n">
        <v>2584</v>
      </c>
      <c r="G29" s="8" t="str">
        <f aca="false">IFERROR((F29-E29)/E29,"")</f>
        <v/>
      </c>
      <c r="H29" s="5" t="n">
        <v>50</v>
      </c>
      <c r="I29" s="5" t="n">
        <v>5</v>
      </c>
      <c r="J29" s="5" t="s">
        <v>19</v>
      </c>
      <c r="K29" s="7" t="n">
        <f aca="false">IFERROR(E29*H29,"")</f>
        <v>0</v>
      </c>
      <c r="L29" s="11" t="s">
        <v>33</v>
      </c>
    </row>
    <row r="30" customFormat="false" ht="15" hidden="false" customHeight="false" outlineLevel="0" collapsed="false">
      <c r="A30" s="5" t="s">
        <v>70</v>
      </c>
      <c r="B30" s="6" t="s">
        <v>22</v>
      </c>
      <c r="C30" s="5" t="s">
        <v>71</v>
      </c>
      <c r="D30" s="9" t="s">
        <v>24</v>
      </c>
      <c r="E30" s="10"/>
      <c r="F30" s="7" t="n">
        <v>2867</v>
      </c>
      <c r="G30" s="8" t="str">
        <f aca="false">IFERROR((F30-E30)/E30,"")</f>
        <v/>
      </c>
      <c r="H30" s="5" t="n">
        <v>50</v>
      </c>
      <c r="I30" s="5" t="n">
        <v>5</v>
      </c>
      <c r="J30" s="5" t="s">
        <v>19</v>
      </c>
      <c r="K30" s="7" t="n">
        <f aca="false">IFERROR(E30*H30,"")</f>
        <v>0</v>
      </c>
      <c r="L30" s="11" t="s">
        <v>33</v>
      </c>
    </row>
    <row r="31" customFormat="false" ht="15" hidden="false" customHeight="false" outlineLevel="0" collapsed="false">
      <c r="A31" s="5" t="s">
        <v>72</v>
      </c>
      <c r="B31" s="6" t="s">
        <v>22</v>
      </c>
      <c r="C31" s="5" t="s">
        <v>73</v>
      </c>
      <c r="D31" s="9" t="s">
        <v>24</v>
      </c>
      <c r="E31" s="10"/>
      <c r="F31" s="7" t="n">
        <v>2867</v>
      </c>
      <c r="G31" s="8" t="str">
        <f aca="false">IFERROR((F31-E31)/E31,"")</f>
        <v/>
      </c>
      <c r="H31" s="5" t="n">
        <v>50</v>
      </c>
      <c r="I31" s="5" t="n">
        <v>5</v>
      </c>
      <c r="J31" s="5" t="s">
        <v>19</v>
      </c>
      <c r="K31" s="7" t="n">
        <f aca="false">IFERROR(E31*H31,"")</f>
        <v>0</v>
      </c>
      <c r="L31" s="11" t="s">
        <v>33</v>
      </c>
    </row>
    <row r="32" customFormat="false" ht="15" hidden="false" customHeight="false" outlineLevel="0" collapsed="false">
      <c r="A32" s="5" t="s">
        <v>74</v>
      </c>
      <c r="B32" s="6" t="s">
        <v>22</v>
      </c>
      <c r="C32" s="5" t="s">
        <v>75</v>
      </c>
      <c r="D32" s="9" t="s">
        <v>24</v>
      </c>
      <c r="E32" s="10"/>
      <c r="F32" s="7" t="n">
        <v>2867</v>
      </c>
      <c r="G32" s="8" t="str">
        <f aca="false">IFERROR((F32-E32)/E32,"")</f>
        <v/>
      </c>
      <c r="H32" s="5" t="n">
        <v>50</v>
      </c>
      <c r="I32" s="5" t="n">
        <v>5</v>
      </c>
      <c r="J32" s="5" t="s">
        <v>19</v>
      </c>
      <c r="K32" s="7" t="n">
        <f aca="false">IFERROR(E32*H32,"")</f>
        <v>0</v>
      </c>
      <c r="L32" s="11" t="s">
        <v>33</v>
      </c>
    </row>
    <row r="33" customFormat="false" ht="15" hidden="false" customHeight="false" outlineLevel="0" collapsed="false">
      <c r="A33" s="5" t="s">
        <v>76</v>
      </c>
      <c r="B33" s="6" t="s">
        <v>22</v>
      </c>
      <c r="C33" s="5" t="s">
        <v>77</v>
      </c>
      <c r="D33" s="9" t="s">
        <v>24</v>
      </c>
      <c r="E33" s="7" t="n">
        <v>2258</v>
      </c>
      <c r="F33" s="7" t="n">
        <v>3138</v>
      </c>
      <c r="G33" s="8" t="n">
        <f aca="false">IFERROR((F33-E33)/E33,"")</f>
        <v>0.389725420726306</v>
      </c>
      <c r="H33" s="5" t="n">
        <v>50</v>
      </c>
      <c r="I33" s="5" t="n">
        <v>5</v>
      </c>
      <c r="J33" s="5" t="s">
        <v>19</v>
      </c>
      <c r="K33" s="7" t="n">
        <f aca="false">IFERROR(E33*H33,"")</f>
        <v>112900</v>
      </c>
      <c r="L33" s="5" t="s">
        <v>20</v>
      </c>
    </row>
    <row r="34" customFormat="false" ht="15" hidden="false" customHeight="false" outlineLevel="0" collapsed="false">
      <c r="A34" s="5" t="s">
        <v>78</v>
      </c>
      <c r="B34" s="6" t="s">
        <v>22</v>
      </c>
      <c r="C34" s="5" t="s">
        <v>79</v>
      </c>
      <c r="D34" s="9" t="s">
        <v>24</v>
      </c>
      <c r="E34" s="10"/>
      <c r="F34" s="7" t="n">
        <v>3899</v>
      </c>
      <c r="G34" s="8" t="str">
        <f aca="false">IFERROR((F34-E34)/E34,"")</f>
        <v/>
      </c>
      <c r="H34" s="5" t="n">
        <v>50</v>
      </c>
      <c r="I34" s="5" t="n">
        <v>5</v>
      </c>
      <c r="J34" s="5" t="s">
        <v>19</v>
      </c>
      <c r="K34" s="7" t="n">
        <f aca="false">IFERROR(E34*H34,"")</f>
        <v>0</v>
      </c>
      <c r="L34" s="11" t="s">
        <v>33</v>
      </c>
    </row>
    <row r="35" customFormat="false" ht="15" hidden="false" customHeight="false" outlineLevel="0" collapsed="false">
      <c r="A35" s="5" t="s">
        <v>80</v>
      </c>
      <c r="B35" s="6" t="s">
        <v>22</v>
      </c>
      <c r="C35" s="5" t="s">
        <v>81</v>
      </c>
      <c r="D35" s="9" t="s">
        <v>24</v>
      </c>
      <c r="E35" s="7" t="n">
        <v>1808</v>
      </c>
      <c r="F35" s="7" t="n">
        <v>2680</v>
      </c>
      <c r="G35" s="8" t="n">
        <f aca="false">IFERROR((F35-E35)/E35,"")</f>
        <v>0.482300884955752</v>
      </c>
      <c r="H35" s="5" t="n">
        <v>50</v>
      </c>
      <c r="I35" s="5" t="n">
        <v>5</v>
      </c>
      <c r="J35" s="5" t="s">
        <v>19</v>
      </c>
      <c r="K35" s="7" t="n">
        <f aca="false">IFERROR(E35*H35,"")</f>
        <v>90400</v>
      </c>
      <c r="L35" s="5" t="s">
        <v>20</v>
      </c>
    </row>
    <row r="36" customFormat="false" ht="15" hidden="false" customHeight="false" outlineLevel="0" collapsed="false">
      <c r="A36" s="5" t="s">
        <v>82</v>
      </c>
      <c r="B36" s="6" t="s">
        <v>22</v>
      </c>
      <c r="C36" s="5" t="s">
        <v>83</v>
      </c>
      <c r="D36" s="9" t="s">
        <v>24</v>
      </c>
      <c r="E36" s="10"/>
      <c r="F36" s="7" t="n">
        <v>1985</v>
      </c>
      <c r="G36" s="8" t="str">
        <f aca="false">IFERROR((F36-E36)/E36,"")</f>
        <v/>
      </c>
      <c r="H36" s="5" t="n">
        <v>50</v>
      </c>
      <c r="I36" s="5" t="n">
        <v>5</v>
      </c>
      <c r="J36" s="5" t="s">
        <v>19</v>
      </c>
      <c r="K36" s="7" t="n">
        <f aca="false">IFERROR(E36*H36,"")</f>
        <v>0</v>
      </c>
      <c r="L36" s="11" t="s">
        <v>33</v>
      </c>
    </row>
    <row r="37" customFormat="false" ht="15" hidden="false" customHeight="false" outlineLevel="0" collapsed="false">
      <c r="A37" s="5" t="s">
        <v>84</v>
      </c>
      <c r="B37" s="6" t="s">
        <v>22</v>
      </c>
      <c r="C37" s="5" t="s">
        <v>85</v>
      </c>
      <c r="D37" s="9" t="s">
        <v>24</v>
      </c>
      <c r="E37" s="10"/>
      <c r="F37" s="7" t="n">
        <v>3251</v>
      </c>
      <c r="G37" s="8" t="str">
        <f aca="false">IFERROR((F37-E37)/E37,"")</f>
        <v/>
      </c>
      <c r="H37" s="5" t="n">
        <v>50</v>
      </c>
      <c r="I37" s="5" t="n">
        <v>5</v>
      </c>
      <c r="J37" s="5" t="s">
        <v>19</v>
      </c>
      <c r="K37" s="7" t="n">
        <f aca="false">IFERROR(E37*H37,"")</f>
        <v>0</v>
      </c>
      <c r="L37" s="11" t="s">
        <v>33</v>
      </c>
    </row>
    <row r="38" customFormat="false" ht="15" hidden="false" customHeight="false" outlineLevel="0" collapsed="false">
      <c r="A38" s="5" t="s">
        <v>86</v>
      </c>
      <c r="B38" s="6" t="s">
        <v>22</v>
      </c>
      <c r="C38" s="5" t="s">
        <v>87</v>
      </c>
      <c r="D38" s="9" t="s">
        <v>24</v>
      </c>
      <c r="E38" s="10"/>
      <c r="F38" s="7" t="n">
        <v>3999</v>
      </c>
      <c r="G38" s="8" t="str">
        <f aca="false">IFERROR((F38-E38)/E38,"")</f>
        <v/>
      </c>
      <c r="H38" s="5" t="n">
        <v>50</v>
      </c>
      <c r="I38" s="5" t="n">
        <v>5</v>
      </c>
      <c r="J38" s="5" t="s">
        <v>19</v>
      </c>
      <c r="K38" s="7" t="n">
        <f aca="false">IFERROR(E38*H38,"")</f>
        <v>0</v>
      </c>
      <c r="L38" s="11" t="s">
        <v>33</v>
      </c>
    </row>
    <row r="39" customFormat="false" ht="15" hidden="false" customHeight="false" outlineLevel="0" collapsed="false">
      <c r="A39" s="5" t="s">
        <v>88</v>
      </c>
      <c r="B39" s="6" t="s">
        <v>89</v>
      </c>
      <c r="C39" s="5" t="s">
        <v>90</v>
      </c>
      <c r="D39" s="9" t="s">
        <v>24</v>
      </c>
      <c r="E39" s="7" t="n">
        <v>98</v>
      </c>
      <c r="F39" s="7" t="n">
        <v>220</v>
      </c>
      <c r="G39" s="8" t="n">
        <f aca="false">IFERROR((F39-E39)/E39,"")</f>
        <v>1.24489795918367</v>
      </c>
      <c r="H39" s="5" t="n">
        <v>50</v>
      </c>
      <c r="I39" s="5" t="n">
        <v>5</v>
      </c>
      <c r="J39" s="5" t="s">
        <v>19</v>
      </c>
      <c r="K39" s="7" t="n">
        <f aca="false">IFERROR(E39*H39,"")</f>
        <v>4900</v>
      </c>
      <c r="L39" s="5" t="s">
        <v>20</v>
      </c>
    </row>
    <row r="40" customFormat="false" ht="15" hidden="false" customHeight="false" outlineLevel="0" collapsed="false">
      <c r="A40" s="5" t="s">
        <v>91</v>
      </c>
      <c r="B40" s="6" t="s">
        <v>89</v>
      </c>
      <c r="C40" s="5" t="s">
        <v>92</v>
      </c>
      <c r="D40" s="9" t="s">
        <v>24</v>
      </c>
      <c r="E40" s="7" t="n">
        <v>98</v>
      </c>
      <c r="F40" s="7" t="n">
        <v>220</v>
      </c>
      <c r="G40" s="8" t="n">
        <f aca="false">IFERROR((F40-E40)/E40,"")</f>
        <v>1.24489795918367</v>
      </c>
      <c r="H40" s="5" t="n">
        <v>50</v>
      </c>
      <c r="I40" s="5" t="n">
        <v>5</v>
      </c>
      <c r="J40" s="5" t="s">
        <v>19</v>
      </c>
      <c r="K40" s="7" t="n">
        <f aca="false">IFERROR(E40*H40,"")</f>
        <v>4900</v>
      </c>
      <c r="L40" s="5" t="s">
        <v>20</v>
      </c>
    </row>
    <row r="41" customFormat="false" ht="15" hidden="false" customHeight="false" outlineLevel="0" collapsed="false">
      <c r="A41" s="5" t="s">
        <v>93</v>
      </c>
      <c r="B41" s="6" t="s">
        <v>89</v>
      </c>
      <c r="C41" s="5" t="s">
        <v>94</v>
      </c>
      <c r="D41" s="9" t="s">
        <v>24</v>
      </c>
      <c r="E41" s="7" t="n">
        <v>98</v>
      </c>
      <c r="F41" s="7" t="n">
        <v>230</v>
      </c>
      <c r="G41" s="8" t="n">
        <f aca="false">IFERROR((F41-E41)/E41,"")</f>
        <v>1.3469387755102</v>
      </c>
      <c r="H41" s="5" t="n">
        <v>50</v>
      </c>
      <c r="I41" s="5" t="n">
        <v>5</v>
      </c>
      <c r="J41" s="5" t="s">
        <v>19</v>
      </c>
      <c r="K41" s="7" t="n">
        <f aca="false">IFERROR(E41*H41,"")</f>
        <v>4900</v>
      </c>
      <c r="L41" s="5" t="s">
        <v>20</v>
      </c>
    </row>
    <row r="42" customFormat="false" ht="15" hidden="false" customHeight="false" outlineLevel="0" collapsed="false">
      <c r="A42" s="5" t="s">
        <v>95</v>
      </c>
      <c r="B42" s="6" t="s">
        <v>89</v>
      </c>
      <c r="C42" s="5" t="s">
        <v>96</v>
      </c>
      <c r="D42" s="9" t="s">
        <v>24</v>
      </c>
      <c r="E42" s="7" t="n">
        <v>98</v>
      </c>
      <c r="F42" s="7" t="n">
        <v>230</v>
      </c>
      <c r="G42" s="8" t="n">
        <f aca="false">IFERROR((F42-E42)/E42,"")</f>
        <v>1.3469387755102</v>
      </c>
      <c r="H42" s="5" t="n">
        <v>50</v>
      </c>
      <c r="I42" s="5" t="n">
        <v>5</v>
      </c>
      <c r="J42" s="5" t="s">
        <v>19</v>
      </c>
      <c r="K42" s="7" t="n">
        <f aca="false">IFERROR(E42*H42,"")</f>
        <v>4900</v>
      </c>
      <c r="L42" s="5" t="s">
        <v>20</v>
      </c>
    </row>
    <row r="43" customFormat="false" ht="15" hidden="false" customHeight="false" outlineLevel="0" collapsed="false">
      <c r="A43" s="5" t="s">
        <v>97</v>
      </c>
      <c r="B43" s="6" t="s">
        <v>89</v>
      </c>
      <c r="C43" s="5" t="s">
        <v>98</v>
      </c>
      <c r="D43" s="9" t="s">
        <v>24</v>
      </c>
      <c r="E43" s="7" t="n">
        <v>100</v>
      </c>
      <c r="F43" s="7" t="n">
        <v>240</v>
      </c>
      <c r="G43" s="8" t="n">
        <f aca="false">IFERROR((F43-E43)/E43,"")</f>
        <v>1.4</v>
      </c>
      <c r="H43" s="5" t="n">
        <v>50</v>
      </c>
      <c r="I43" s="5" t="n">
        <v>5</v>
      </c>
      <c r="J43" s="5" t="s">
        <v>19</v>
      </c>
      <c r="K43" s="7" t="n">
        <f aca="false">IFERROR(E43*H43,"")</f>
        <v>5000</v>
      </c>
      <c r="L43" s="5" t="s">
        <v>20</v>
      </c>
    </row>
    <row r="44" customFormat="false" ht="15" hidden="false" customHeight="false" outlineLevel="0" collapsed="false">
      <c r="A44" s="5" t="s">
        <v>99</v>
      </c>
      <c r="B44" s="6" t="s">
        <v>89</v>
      </c>
      <c r="C44" s="5" t="s">
        <v>100</v>
      </c>
      <c r="D44" s="9" t="s">
        <v>24</v>
      </c>
      <c r="E44" s="7" t="n">
        <v>100</v>
      </c>
      <c r="F44" s="7" t="n">
        <v>240</v>
      </c>
      <c r="G44" s="8" t="n">
        <f aca="false">IFERROR((F44-E44)/E44,"")</f>
        <v>1.4</v>
      </c>
      <c r="H44" s="5" t="n">
        <v>50</v>
      </c>
      <c r="I44" s="5" t="n">
        <v>5</v>
      </c>
      <c r="J44" s="5" t="s">
        <v>19</v>
      </c>
      <c r="K44" s="7" t="n">
        <f aca="false">IFERROR(E44*H44,"")</f>
        <v>5000</v>
      </c>
      <c r="L44" s="5" t="s">
        <v>20</v>
      </c>
    </row>
    <row r="45" customFormat="false" ht="15" hidden="false" customHeight="false" outlineLevel="0" collapsed="false">
      <c r="A45" s="5" t="s">
        <v>101</v>
      </c>
      <c r="B45" s="6" t="s">
        <v>89</v>
      </c>
      <c r="C45" s="5" t="s">
        <v>102</v>
      </c>
      <c r="D45" s="9" t="s">
        <v>24</v>
      </c>
      <c r="E45" s="7" t="n">
        <v>98</v>
      </c>
      <c r="F45" s="7" t="n">
        <v>240</v>
      </c>
      <c r="G45" s="8" t="n">
        <f aca="false">IFERROR((F45-E45)/E45,"")</f>
        <v>1.44897959183673</v>
      </c>
      <c r="H45" s="5" t="n">
        <v>50</v>
      </c>
      <c r="I45" s="5" t="n">
        <v>5</v>
      </c>
      <c r="J45" s="5" t="s">
        <v>19</v>
      </c>
      <c r="K45" s="7" t="n">
        <f aca="false">IFERROR(E45*H45,"")</f>
        <v>4900</v>
      </c>
      <c r="L45" s="5" t="s">
        <v>20</v>
      </c>
    </row>
    <row r="46" customFormat="false" ht="15" hidden="false" customHeight="false" outlineLevel="0" collapsed="false">
      <c r="A46" s="5" t="s">
        <v>103</v>
      </c>
      <c r="B46" s="6" t="s">
        <v>89</v>
      </c>
      <c r="C46" s="5" t="s">
        <v>104</v>
      </c>
      <c r="D46" s="9" t="s">
        <v>24</v>
      </c>
      <c r="E46" s="7" t="n">
        <v>98</v>
      </c>
      <c r="F46" s="7" t="n">
        <v>240</v>
      </c>
      <c r="G46" s="8" t="n">
        <f aca="false">IFERROR((F46-E46)/E46,"")</f>
        <v>1.44897959183673</v>
      </c>
      <c r="H46" s="5" t="n">
        <v>50</v>
      </c>
      <c r="I46" s="5" t="n">
        <v>5</v>
      </c>
      <c r="J46" s="5" t="s">
        <v>19</v>
      </c>
      <c r="K46" s="7" t="n">
        <f aca="false">IFERROR(E46*H46,"")</f>
        <v>4900</v>
      </c>
      <c r="L46" s="5" t="s">
        <v>20</v>
      </c>
    </row>
    <row r="47" customFormat="false" ht="15" hidden="false" customHeight="false" outlineLevel="0" collapsed="false">
      <c r="A47" s="5" t="s">
        <v>105</v>
      </c>
      <c r="B47" s="6" t="s">
        <v>89</v>
      </c>
      <c r="C47" s="5" t="s">
        <v>106</v>
      </c>
      <c r="D47" s="9" t="s">
        <v>24</v>
      </c>
      <c r="E47" s="7" t="n">
        <v>98</v>
      </c>
      <c r="F47" s="7" t="n">
        <v>240</v>
      </c>
      <c r="G47" s="8" t="n">
        <f aca="false">IFERROR((F47-E47)/E47,"")</f>
        <v>1.44897959183673</v>
      </c>
      <c r="H47" s="5" t="n">
        <v>50</v>
      </c>
      <c r="I47" s="5" t="n">
        <v>5</v>
      </c>
      <c r="J47" s="5" t="s">
        <v>19</v>
      </c>
      <c r="K47" s="7" t="n">
        <f aca="false">IFERROR(E47*H47,"")</f>
        <v>4900</v>
      </c>
      <c r="L47" s="5" t="s">
        <v>20</v>
      </c>
    </row>
    <row r="48" customFormat="false" ht="15" hidden="false" customHeight="false" outlineLevel="0" collapsed="false">
      <c r="A48" s="5" t="s">
        <v>107</v>
      </c>
      <c r="B48" s="6" t="s">
        <v>89</v>
      </c>
      <c r="C48" s="5" t="s">
        <v>108</v>
      </c>
      <c r="D48" s="9" t="s">
        <v>24</v>
      </c>
      <c r="E48" s="7" t="n">
        <v>98</v>
      </c>
      <c r="F48" s="7" t="n">
        <v>240</v>
      </c>
      <c r="G48" s="8" t="n">
        <f aca="false">IFERROR((F48-E48)/E48,"")</f>
        <v>1.44897959183673</v>
      </c>
      <c r="H48" s="5" t="n">
        <v>50</v>
      </c>
      <c r="I48" s="5" t="n">
        <v>5</v>
      </c>
      <c r="J48" s="5" t="s">
        <v>19</v>
      </c>
      <c r="K48" s="7" t="n">
        <f aca="false">IFERROR(E48*H48,"")</f>
        <v>4900</v>
      </c>
      <c r="L48" s="5" t="s">
        <v>20</v>
      </c>
    </row>
    <row r="49" customFormat="false" ht="15" hidden="false" customHeight="false" outlineLevel="0" collapsed="false">
      <c r="A49" s="5" t="s">
        <v>109</v>
      </c>
      <c r="B49" s="6" t="s">
        <v>89</v>
      </c>
      <c r="C49" s="5" t="s">
        <v>110</v>
      </c>
      <c r="D49" s="9" t="s">
        <v>24</v>
      </c>
      <c r="E49" s="7" t="n">
        <v>98</v>
      </c>
      <c r="F49" s="7" t="n">
        <v>240</v>
      </c>
      <c r="G49" s="8" t="n">
        <f aca="false">IFERROR((F49-E49)/E49,"")</f>
        <v>1.44897959183673</v>
      </c>
      <c r="H49" s="5" t="n">
        <v>50</v>
      </c>
      <c r="I49" s="5" t="n">
        <v>5</v>
      </c>
      <c r="J49" s="5" t="s">
        <v>19</v>
      </c>
      <c r="K49" s="7" t="n">
        <f aca="false">IFERROR(E49*H49,"")</f>
        <v>4900</v>
      </c>
      <c r="L49" s="5" t="s">
        <v>20</v>
      </c>
    </row>
    <row r="50" customFormat="false" ht="15" hidden="false" customHeight="false" outlineLevel="0" collapsed="false">
      <c r="A50" s="5" t="s">
        <v>111</v>
      </c>
      <c r="B50" s="6" t="s">
        <v>89</v>
      </c>
      <c r="C50" s="5" t="s">
        <v>112</v>
      </c>
      <c r="D50" s="9" t="s">
        <v>24</v>
      </c>
      <c r="E50" s="7" t="n">
        <v>98</v>
      </c>
      <c r="F50" s="7" t="n">
        <v>240</v>
      </c>
      <c r="G50" s="8" t="n">
        <f aca="false">IFERROR((F50-E50)/E50,"")</f>
        <v>1.44897959183673</v>
      </c>
      <c r="H50" s="5" t="n">
        <v>50</v>
      </c>
      <c r="I50" s="5" t="n">
        <v>5</v>
      </c>
      <c r="J50" s="5" t="s">
        <v>19</v>
      </c>
      <c r="K50" s="7" t="n">
        <f aca="false">IFERROR(E50*H50,"")</f>
        <v>4900</v>
      </c>
      <c r="L50" s="5" t="s">
        <v>20</v>
      </c>
    </row>
    <row r="51" customFormat="false" ht="15" hidden="false" customHeight="false" outlineLevel="0" collapsed="false">
      <c r="A51" s="5" t="s">
        <v>113</v>
      </c>
      <c r="B51" s="6" t="s">
        <v>114</v>
      </c>
      <c r="C51" s="5" t="s">
        <v>115</v>
      </c>
      <c r="D51" s="9" t="s">
        <v>24</v>
      </c>
      <c r="E51" s="7" t="n">
        <v>41</v>
      </c>
      <c r="F51" s="7" t="n">
        <v>150</v>
      </c>
      <c r="G51" s="8" t="n">
        <f aca="false">IFERROR((F51-E51)/E51,"")</f>
        <v>2.65853658536585</v>
      </c>
      <c r="H51" s="5" t="n">
        <v>50</v>
      </c>
      <c r="I51" s="5" t="n">
        <v>5</v>
      </c>
      <c r="J51" s="5" t="s">
        <v>19</v>
      </c>
      <c r="K51" s="7" t="n">
        <f aca="false">IFERROR(E51*H51,"")</f>
        <v>2050</v>
      </c>
      <c r="L51" s="5" t="s">
        <v>20</v>
      </c>
    </row>
    <row r="52" customFormat="false" ht="15" hidden="false" customHeight="false" outlineLevel="0" collapsed="false">
      <c r="A52" s="5" t="s">
        <v>116</v>
      </c>
      <c r="B52" s="6" t="s">
        <v>89</v>
      </c>
      <c r="C52" s="5" t="s">
        <v>117</v>
      </c>
      <c r="D52" s="9" t="s">
        <v>24</v>
      </c>
      <c r="E52" s="7" t="n">
        <v>72</v>
      </c>
      <c r="F52" s="7" t="n">
        <v>150</v>
      </c>
      <c r="G52" s="8" t="n">
        <f aca="false">IFERROR((F52-E52)/E52,"")</f>
        <v>1.08333333333333</v>
      </c>
      <c r="H52" s="5" t="n">
        <v>50</v>
      </c>
      <c r="I52" s="5" t="n">
        <v>5</v>
      </c>
      <c r="J52" s="5" t="s">
        <v>19</v>
      </c>
      <c r="K52" s="7" t="n">
        <f aca="false">IFERROR(E52*H52,"")</f>
        <v>3600</v>
      </c>
      <c r="L52" s="5" t="s">
        <v>20</v>
      </c>
    </row>
    <row r="53" customFormat="false" ht="15" hidden="false" customHeight="false" outlineLevel="0" collapsed="false">
      <c r="A53" s="5" t="s">
        <v>118</v>
      </c>
      <c r="B53" s="6" t="s">
        <v>114</v>
      </c>
      <c r="C53" s="5" t="s">
        <v>119</v>
      </c>
      <c r="D53" s="9" t="s">
        <v>24</v>
      </c>
      <c r="E53" s="7" t="n">
        <v>128</v>
      </c>
      <c r="F53" s="7" t="n">
        <v>168</v>
      </c>
      <c r="G53" s="8" t="n">
        <f aca="false">IFERROR((F53-E53)/E53,"")</f>
        <v>0.3125</v>
      </c>
      <c r="H53" s="5" t="n">
        <v>50</v>
      </c>
      <c r="I53" s="5" t="n">
        <v>5</v>
      </c>
      <c r="J53" s="5" t="s">
        <v>19</v>
      </c>
      <c r="K53" s="7" t="n">
        <f aca="false">IFERROR(E53*H53,"")</f>
        <v>6400</v>
      </c>
      <c r="L53" s="5" t="s">
        <v>20</v>
      </c>
    </row>
    <row r="54" customFormat="false" ht="15" hidden="false" customHeight="false" outlineLevel="0" collapsed="false">
      <c r="A54" s="5" t="s">
        <v>120</v>
      </c>
      <c r="B54" s="6" t="s">
        <v>121</v>
      </c>
      <c r="C54" s="5" t="s">
        <v>122</v>
      </c>
      <c r="D54" s="9" t="s">
        <v>24</v>
      </c>
      <c r="E54" s="7" t="n">
        <v>100</v>
      </c>
      <c r="F54" s="7" t="n">
        <v>300</v>
      </c>
      <c r="G54" s="8" t="n">
        <f aca="false">IFERROR((F54-E54)/E54,"")</f>
        <v>2</v>
      </c>
      <c r="H54" s="5" t="n">
        <v>50</v>
      </c>
      <c r="I54" s="5" t="n">
        <v>5</v>
      </c>
      <c r="J54" s="5" t="s">
        <v>19</v>
      </c>
      <c r="K54" s="7" t="n">
        <f aca="false">IFERROR(E54*H54,"")</f>
        <v>5000</v>
      </c>
      <c r="L54" s="5" t="s">
        <v>20</v>
      </c>
    </row>
    <row r="55" customFormat="false" ht="15" hidden="false" customHeight="false" outlineLevel="0" collapsed="false">
      <c r="A55" s="5" t="s">
        <v>123</v>
      </c>
      <c r="B55" s="6" t="s">
        <v>121</v>
      </c>
      <c r="C55" s="5" t="s">
        <v>124</v>
      </c>
      <c r="D55" s="9" t="s">
        <v>24</v>
      </c>
      <c r="E55" s="7" t="n">
        <v>100</v>
      </c>
      <c r="F55" s="7" t="n">
        <v>300</v>
      </c>
      <c r="G55" s="8" t="n">
        <f aca="false">IFERROR((F55-E55)/E55,"")</f>
        <v>2</v>
      </c>
      <c r="H55" s="5" t="n">
        <v>50</v>
      </c>
      <c r="I55" s="5" t="n">
        <v>5</v>
      </c>
      <c r="J55" s="5" t="s">
        <v>19</v>
      </c>
      <c r="K55" s="7" t="n">
        <f aca="false">IFERROR(E55*H55,"")</f>
        <v>5000</v>
      </c>
      <c r="L55" s="5" t="s">
        <v>20</v>
      </c>
    </row>
    <row r="56" customFormat="false" ht="15" hidden="false" customHeight="false" outlineLevel="0" collapsed="false">
      <c r="A56" s="5" t="s">
        <v>125</v>
      </c>
      <c r="B56" s="6" t="s">
        <v>126</v>
      </c>
      <c r="C56" s="5" t="s">
        <v>127</v>
      </c>
      <c r="D56" s="9" t="s">
        <v>24</v>
      </c>
      <c r="E56" s="7" t="n">
        <v>5</v>
      </c>
      <c r="F56" s="7" t="n">
        <v>20</v>
      </c>
      <c r="G56" s="8" t="n">
        <f aca="false">IFERROR((F56-E56)/E56,"")</f>
        <v>3</v>
      </c>
      <c r="H56" s="5" t="n">
        <v>50</v>
      </c>
      <c r="I56" s="5" t="n">
        <v>5</v>
      </c>
      <c r="J56" s="5" t="s">
        <v>19</v>
      </c>
      <c r="K56" s="7" t="n">
        <f aca="false">IFERROR(E56*H56,"")</f>
        <v>250</v>
      </c>
      <c r="L56" s="5" t="s">
        <v>20</v>
      </c>
    </row>
    <row r="57" customFormat="false" ht="15" hidden="false" customHeight="false" outlineLevel="0" collapsed="false">
      <c r="A57" s="5" t="s">
        <v>128</v>
      </c>
      <c r="B57" s="6" t="s">
        <v>89</v>
      </c>
      <c r="C57" s="5" t="s">
        <v>129</v>
      </c>
      <c r="D57" s="9" t="s">
        <v>24</v>
      </c>
      <c r="E57" s="7" t="n">
        <v>215</v>
      </c>
      <c r="F57" s="7" t="n">
        <v>300</v>
      </c>
      <c r="G57" s="8" t="n">
        <f aca="false">IFERROR((F57-E57)/E57,"")</f>
        <v>0.395348837209302</v>
      </c>
      <c r="H57" s="5" t="n">
        <v>50</v>
      </c>
      <c r="I57" s="5" t="n">
        <v>5</v>
      </c>
      <c r="J57" s="5" t="s">
        <v>19</v>
      </c>
      <c r="K57" s="7" t="n">
        <f aca="false">IFERROR(E57*H57,"")</f>
        <v>10750</v>
      </c>
      <c r="L57" s="5" t="s">
        <v>20</v>
      </c>
    </row>
    <row r="58" customFormat="false" ht="15" hidden="false" customHeight="false" outlineLevel="0" collapsed="false">
      <c r="A58" s="5" t="s">
        <v>130</v>
      </c>
      <c r="B58" s="6" t="s">
        <v>126</v>
      </c>
      <c r="C58" s="5" t="s">
        <v>131</v>
      </c>
      <c r="D58" s="9" t="s">
        <v>24</v>
      </c>
      <c r="E58" s="7" t="n">
        <v>280</v>
      </c>
      <c r="F58" s="7" t="n">
        <v>300</v>
      </c>
      <c r="G58" s="8" t="n">
        <f aca="false">IFERROR((F58-E58)/E58,"")</f>
        <v>0.0714285714285714</v>
      </c>
      <c r="H58" s="5" t="n">
        <v>50</v>
      </c>
      <c r="I58" s="5" t="n">
        <v>5</v>
      </c>
      <c r="J58" s="5" t="s">
        <v>19</v>
      </c>
      <c r="K58" s="7" t="n">
        <f aca="false">IFERROR(E58*H58,"")</f>
        <v>14000</v>
      </c>
      <c r="L58" s="5" t="s">
        <v>20</v>
      </c>
    </row>
    <row r="59" customFormat="false" ht="15" hidden="false" customHeight="false" outlineLevel="0" collapsed="false">
      <c r="A59" s="5" t="s">
        <v>132</v>
      </c>
      <c r="B59" s="6" t="s">
        <v>126</v>
      </c>
      <c r="C59" s="5" t="s">
        <v>133</v>
      </c>
      <c r="D59" s="9" t="s">
        <v>24</v>
      </c>
      <c r="E59" s="7" t="n">
        <v>408</v>
      </c>
      <c r="F59" s="7" t="n">
        <v>602</v>
      </c>
      <c r="G59" s="8" t="n">
        <f aca="false">IFERROR((F59-E59)/E59,"")</f>
        <v>0.475490196078431</v>
      </c>
      <c r="H59" s="5" t="n">
        <v>50</v>
      </c>
      <c r="I59" s="5" t="n">
        <v>5</v>
      </c>
      <c r="J59" s="5" t="s">
        <v>19</v>
      </c>
      <c r="K59" s="7" t="n">
        <f aca="false">IFERROR(E59*H59,"")</f>
        <v>20400</v>
      </c>
      <c r="L59" s="5" t="s">
        <v>20</v>
      </c>
    </row>
    <row r="60" customFormat="false" ht="15" hidden="false" customHeight="false" outlineLevel="0" collapsed="false">
      <c r="A60" s="5" t="s">
        <v>134</v>
      </c>
      <c r="B60" s="6" t="s">
        <v>121</v>
      </c>
      <c r="C60" s="5" t="s">
        <v>135</v>
      </c>
      <c r="D60" s="9" t="s">
        <v>24</v>
      </c>
      <c r="E60" s="7" t="n">
        <v>1100</v>
      </c>
      <c r="F60" s="7" t="n">
        <v>1800</v>
      </c>
      <c r="G60" s="8" t="n">
        <f aca="false">IFERROR((F60-E60)/E60,"")</f>
        <v>0.636363636363636</v>
      </c>
      <c r="H60" s="5" t="n">
        <v>50</v>
      </c>
      <c r="I60" s="5" t="n">
        <v>5</v>
      </c>
      <c r="J60" s="5" t="s">
        <v>19</v>
      </c>
      <c r="K60" s="7" t="n">
        <f aca="false">IFERROR(E60*H60,"")</f>
        <v>55000</v>
      </c>
      <c r="L60" s="5" t="s">
        <v>20</v>
      </c>
    </row>
    <row r="61" customFormat="false" ht="15" hidden="false" customHeight="false" outlineLevel="0" collapsed="false">
      <c r="A61" s="5" t="s">
        <v>136</v>
      </c>
      <c r="B61" s="6" t="s">
        <v>121</v>
      </c>
      <c r="C61" s="5" t="s">
        <v>137</v>
      </c>
      <c r="D61" s="9" t="s">
        <v>24</v>
      </c>
      <c r="E61" s="7" t="n">
        <v>100</v>
      </c>
      <c r="F61" s="7" t="n">
        <v>300</v>
      </c>
      <c r="G61" s="8" t="n">
        <f aca="false">IFERROR((F61-E61)/E61,"")</f>
        <v>2</v>
      </c>
      <c r="H61" s="5" t="n">
        <v>50</v>
      </c>
      <c r="I61" s="5" t="n">
        <v>5</v>
      </c>
      <c r="J61" s="5" t="s">
        <v>19</v>
      </c>
      <c r="K61" s="7" t="n">
        <f aca="false">IFERROR(E61*H61,"")</f>
        <v>5000</v>
      </c>
      <c r="L61" s="5" t="s">
        <v>20</v>
      </c>
    </row>
    <row r="62" customFormat="false" ht="15" hidden="false" customHeight="false" outlineLevel="0" collapsed="false">
      <c r="A62" s="5" t="s">
        <v>138</v>
      </c>
      <c r="B62" s="6" t="s">
        <v>114</v>
      </c>
      <c r="C62" s="5" t="s">
        <v>139</v>
      </c>
      <c r="D62" s="9" t="s">
        <v>24</v>
      </c>
      <c r="E62" s="7" t="n">
        <v>70</v>
      </c>
      <c r="F62" s="7" t="n">
        <v>180</v>
      </c>
      <c r="G62" s="8" t="n">
        <f aca="false">IFERROR((F62-E62)/E62,"")</f>
        <v>1.57142857142857</v>
      </c>
      <c r="H62" s="5" t="n">
        <v>50</v>
      </c>
      <c r="I62" s="5" t="n">
        <v>5</v>
      </c>
      <c r="J62" s="5" t="s">
        <v>19</v>
      </c>
      <c r="K62" s="7" t="n">
        <f aca="false">IFERROR(E62*H62,"")</f>
        <v>3500</v>
      </c>
      <c r="L62" s="5" t="s">
        <v>20</v>
      </c>
    </row>
    <row r="63" customFormat="false" ht="15" hidden="false" customHeight="false" outlineLevel="0" collapsed="false">
      <c r="A63" s="5" t="s">
        <v>140</v>
      </c>
      <c r="B63" s="6" t="s">
        <v>126</v>
      </c>
      <c r="C63" s="5" t="s">
        <v>141</v>
      </c>
      <c r="D63" s="9" t="s">
        <v>24</v>
      </c>
      <c r="E63" s="7" t="n">
        <v>80</v>
      </c>
      <c r="F63" s="7" t="n">
        <v>150</v>
      </c>
      <c r="G63" s="8" t="n">
        <f aca="false">IFERROR((F63-E63)/E63,"")</f>
        <v>0.875</v>
      </c>
      <c r="H63" s="5" t="n">
        <v>50</v>
      </c>
      <c r="I63" s="5" t="n">
        <v>5</v>
      </c>
      <c r="J63" s="5" t="s">
        <v>19</v>
      </c>
      <c r="K63" s="7" t="n">
        <f aca="false">IFERROR(E63*H63,"")</f>
        <v>4000</v>
      </c>
      <c r="L63" s="5" t="s">
        <v>20</v>
      </c>
    </row>
    <row r="64" customFormat="false" ht="15" hidden="false" customHeight="false" outlineLevel="0" collapsed="false">
      <c r="A64" s="5" t="s">
        <v>142</v>
      </c>
      <c r="B64" s="6" t="s">
        <v>126</v>
      </c>
      <c r="C64" s="5" t="s">
        <v>143</v>
      </c>
      <c r="D64" s="9" t="s">
        <v>24</v>
      </c>
      <c r="E64" s="7" t="n">
        <v>437</v>
      </c>
      <c r="F64" s="7" t="n">
        <v>890</v>
      </c>
      <c r="G64" s="8" t="n">
        <f aca="false">IFERROR((F64-E64)/E64,"")</f>
        <v>1.03661327231121</v>
      </c>
      <c r="H64" s="5" t="n">
        <v>50</v>
      </c>
      <c r="I64" s="5" t="n">
        <v>5</v>
      </c>
      <c r="J64" s="5" t="s">
        <v>19</v>
      </c>
      <c r="K64" s="7" t="n">
        <f aca="false">IFERROR(E64*H64,"")</f>
        <v>21850</v>
      </c>
      <c r="L64" s="5" t="s">
        <v>20</v>
      </c>
    </row>
    <row r="65" customFormat="false" ht="15" hidden="false" customHeight="false" outlineLevel="0" collapsed="false">
      <c r="A65" s="5" t="s">
        <v>144</v>
      </c>
      <c r="B65" s="6" t="s">
        <v>126</v>
      </c>
      <c r="C65" s="5" t="s">
        <v>145</v>
      </c>
      <c r="D65" s="5" t="s">
        <v>146</v>
      </c>
      <c r="E65" s="7" t="n">
        <v>133</v>
      </c>
      <c r="F65" s="7" t="n">
        <v>350</v>
      </c>
      <c r="G65" s="8" t="n">
        <f aca="false">IFERROR((F65-E65)/E65,"")</f>
        <v>1.63157894736842</v>
      </c>
      <c r="H65" s="5" t="n">
        <v>50</v>
      </c>
      <c r="I65" s="5" t="n">
        <v>5</v>
      </c>
      <c r="J65" s="5" t="s">
        <v>19</v>
      </c>
      <c r="K65" s="7" t="n">
        <f aca="false">IFERROR(E65*H65,"")</f>
        <v>6650</v>
      </c>
      <c r="L65" s="5" t="s">
        <v>20</v>
      </c>
    </row>
    <row r="66" customFormat="false" ht="15" hidden="false" customHeight="false" outlineLevel="0" collapsed="false">
      <c r="A66" s="5" t="s">
        <v>147</v>
      </c>
      <c r="B66" s="6" t="s">
        <v>126</v>
      </c>
      <c r="C66" s="5" t="s">
        <v>148</v>
      </c>
      <c r="D66" s="5" t="s">
        <v>149</v>
      </c>
      <c r="E66" s="7" t="n">
        <v>110</v>
      </c>
      <c r="F66" s="7" t="n">
        <v>420</v>
      </c>
      <c r="G66" s="8" t="n">
        <f aca="false">IFERROR((F66-E66)/E66,"")</f>
        <v>2.81818181818182</v>
      </c>
      <c r="H66" s="5" t="n">
        <v>50</v>
      </c>
      <c r="I66" s="5" t="n">
        <v>5</v>
      </c>
      <c r="J66" s="5" t="s">
        <v>19</v>
      </c>
      <c r="K66" s="7" t="n">
        <f aca="false">IFERROR(E66*H66,"")</f>
        <v>5500</v>
      </c>
      <c r="L66" s="5" t="s">
        <v>20</v>
      </c>
    </row>
    <row r="67" customFormat="false" ht="15" hidden="false" customHeight="false" outlineLevel="0" collapsed="false">
      <c r="A67" s="5" t="s">
        <v>150</v>
      </c>
      <c r="B67" s="6" t="s">
        <v>126</v>
      </c>
      <c r="C67" s="5" t="s">
        <v>151</v>
      </c>
      <c r="D67" s="5" t="s">
        <v>152</v>
      </c>
      <c r="E67" s="7" t="n">
        <v>110</v>
      </c>
      <c r="F67" s="7" t="n">
        <v>420</v>
      </c>
      <c r="G67" s="8" t="n">
        <f aca="false">IFERROR((F67-E67)/E67,"")</f>
        <v>2.81818181818182</v>
      </c>
      <c r="H67" s="5" t="n">
        <v>50</v>
      </c>
      <c r="I67" s="5" t="n">
        <v>5</v>
      </c>
      <c r="J67" s="5" t="s">
        <v>19</v>
      </c>
      <c r="K67" s="7" t="n">
        <f aca="false">IFERROR(E67*H67,"")</f>
        <v>5500</v>
      </c>
      <c r="L67" s="5" t="s">
        <v>20</v>
      </c>
    </row>
    <row r="68" customFormat="false" ht="15" hidden="false" customHeight="false" outlineLevel="0" collapsed="false">
      <c r="A68" s="5" t="s">
        <v>153</v>
      </c>
      <c r="B68" s="6" t="s">
        <v>126</v>
      </c>
      <c r="C68" s="5" t="s">
        <v>154</v>
      </c>
      <c r="D68" s="5" t="s">
        <v>146</v>
      </c>
      <c r="E68" s="7" t="n">
        <v>70</v>
      </c>
      <c r="F68" s="7" t="n">
        <v>200</v>
      </c>
      <c r="G68" s="8" t="n">
        <f aca="false">IFERROR((F68-E68)/E68,"")</f>
        <v>1.85714285714286</v>
      </c>
      <c r="H68" s="5" t="n">
        <v>50</v>
      </c>
      <c r="I68" s="5" t="n">
        <v>5</v>
      </c>
      <c r="J68" s="5" t="s">
        <v>19</v>
      </c>
      <c r="K68" s="7" t="n">
        <f aca="false">IFERROR(E68*H68,"")</f>
        <v>3500</v>
      </c>
      <c r="L68" s="5" t="s">
        <v>20</v>
      </c>
    </row>
    <row r="69" customFormat="false" ht="15" hidden="false" customHeight="false" outlineLevel="0" collapsed="false">
      <c r="A69" s="5" t="s">
        <v>155</v>
      </c>
      <c r="B69" s="6" t="s">
        <v>126</v>
      </c>
      <c r="C69" s="5" t="s">
        <v>156</v>
      </c>
      <c r="D69" s="5" t="s">
        <v>149</v>
      </c>
      <c r="E69" s="7" t="n">
        <v>60</v>
      </c>
      <c r="F69" s="7" t="n">
        <v>482</v>
      </c>
      <c r="G69" s="8" t="n">
        <f aca="false">IFERROR((F69-E69)/E69,"")</f>
        <v>7.03333333333333</v>
      </c>
      <c r="H69" s="5" t="n">
        <v>50</v>
      </c>
      <c r="I69" s="5" t="n">
        <v>5</v>
      </c>
      <c r="J69" s="5" t="s">
        <v>19</v>
      </c>
      <c r="K69" s="7" t="n">
        <f aca="false">IFERROR(E69*H69,"")</f>
        <v>3000</v>
      </c>
      <c r="L69" s="5" t="s">
        <v>20</v>
      </c>
    </row>
    <row r="70" customFormat="false" ht="15" hidden="false" customHeight="false" outlineLevel="0" collapsed="false">
      <c r="A70" s="5" t="s">
        <v>157</v>
      </c>
      <c r="B70" s="6" t="s">
        <v>126</v>
      </c>
      <c r="C70" s="5" t="s">
        <v>158</v>
      </c>
      <c r="D70" s="5" t="s">
        <v>152</v>
      </c>
      <c r="E70" s="7" t="n">
        <v>60</v>
      </c>
      <c r="F70" s="7" t="n">
        <v>200</v>
      </c>
      <c r="G70" s="8" t="n">
        <f aca="false">IFERROR((F70-E70)/E70,"")</f>
        <v>2.33333333333333</v>
      </c>
      <c r="H70" s="5" t="n">
        <v>50</v>
      </c>
      <c r="I70" s="5" t="n">
        <v>5</v>
      </c>
      <c r="J70" s="5" t="s">
        <v>19</v>
      </c>
      <c r="K70" s="7" t="n">
        <f aca="false">IFERROR(E70*H70,"")</f>
        <v>3000</v>
      </c>
      <c r="L70" s="5" t="s">
        <v>20</v>
      </c>
    </row>
    <row r="71" customFormat="false" ht="15" hidden="false" customHeight="false" outlineLevel="0" collapsed="false">
      <c r="A71" s="5" t="s">
        <v>159</v>
      </c>
      <c r="B71" s="6" t="s">
        <v>126</v>
      </c>
      <c r="C71" s="5" t="s">
        <v>160</v>
      </c>
      <c r="D71" s="5" t="s">
        <v>146</v>
      </c>
      <c r="E71" s="7" t="n">
        <v>42</v>
      </c>
      <c r="F71" s="7" t="n">
        <v>120</v>
      </c>
      <c r="G71" s="8" t="n">
        <f aca="false">IFERROR((F71-E71)/E71,"")</f>
        <v>1.85714285714286</v>
      </c>
      <c r="H71" s="5" t="n">
        <v>50</v>
      </c>
      <c r="I71" s="5" t="n">
        <v>5</v>
      </c>
      <c r="J71" s="5" t="s">
        <v>19</v>
      </c>
      <c r="K71" s="7" t="n">
        <f aca="false">IFERROR(E71*H71,"")</f>
        <v>2100</v>
      </c>
      <c r="L71" s="5" t="s">
        <v>20</v>
      </c>
    </row>
    <row r="72" customFormat="false" ht="15" hidden="false" customHeight="false" outlineLevel="0" collapsed="false">
      <c r="A72" s="5" t="s">
        <v>161</v>
      </c>
      <c r="B72" s="6" t="s">
        <v>126</v>
      </c>
      <c r="C72" s="5" t="s">
        <v>162</v>
      </c>
      <c r="D72" s="5" t="s">
        <v>149</v>
      </c>
      <c r="E72" s="7" t="n">
        <v>60</v>
      </c>
      <c r="F72" s="7" t="n">
        <v>160</v>
      </c>
      <c r="G72" s="8" t="n">
        <f aca="false">IFERROR((F72-E72)/E72,"")</f>
        <v>1.66666666666667</v>
      </c>
      <c r="H72" s="5" t="n">
        <v>50</v>
      </c>
      <c r="I72" s="5" t="n">
        <v>5</v>
      </c>
      <c r="J72" s="5" t="s">
        <v>19</v>
      </c>
      <c r="K72" s="7" t="n">
        <f aca="false">IFERROR(E72*H72,"")</f>
        <v>3000</v>
      </c>
      <c r="L72" s="5" t="s">
        <v>20</v>
      </c>
    </row>
    <row r="73" customFormat="false" ht="15" hidden="false" customHeight="false" outlineLevel="0" collapsed="false">
      <c r="A73" s="5" t="s">
        <v>163</v>
      </c>
      <c r="B73" s="6" t="s">
        <v>89</v>
      </c>
      <c r="C73" s="5" t="s">
        <v>164</v>
      </c>
      <c r="D73" s="9" t="s">
        <v>24</v>
      </c>
      <c r="E73" s="7" t="n">
        <v>900</v>
      </c>
      <c r="F73" s="7" t="n">
        <v>1200</v>
      </c>
      <c r="G73" s="8" t="n">
        <f aca="false">IFERROR((F73-E73)/E73,"")</f>
        <v>0.333333333333333</v>
      </c>
      <c r="H73" s="5" t="n">
        <v>50</v>
      </c>
      <c r="I73" s="5" t="n">
        <v>5</v>
      </c>
      <c r="J73" s="5" t="s">
        <v>19</v>
      </c>
      <c r="K73" s="7" t="n">
        <f aca="false">IFERROR(E73*H73,"")</f>
        <v>45000</v>
      </c>
      <c r="L73" s="5" t="s">
        <v>20</v>
      </c>
    </row>
    <row r="74" customFormat="false" ht="15" hidden="false" customHeight="false" outlineLevel="0" collapsed="false">
      <c r="A74" s="5" t="s">
        <v>165</v>
      </c>
      <c r="B74" s="6" t="s">
        <v>114</v>
      </c>
      <c r="C74" s="5" t="s">
        <v>166</v>
      </c>
      <c r="D74" s="9" t="s">
        <v>24</v>
      </c>
      <c r="E74" s="7" t="n">
        <v>35</v>
      </c>
      <c r="F74" s="7" t="n">
        <v>50</v>
      </c>
      <c r="G74" s="8" t="n">
        <f aca="false">IFERROR((F74-E74)/E74,"")</f>
        <v>0.428571428571429</v>
      </c>
      <c r="H74" s="5" t="n">
        <v>50</v>
      </c>
      <c r="I74" s="5" t="n">
        <v>5</v>
      </c>
      <c r="J74" s="5" t="s">
        <v>19</v>
      </c>
      <c r="K74" s="7" t="n">
        <f aca="false">IFERROR(E74*H74,"")</f>
        <v>1750</v>
      </c>
      <c r="L74" s="5" t="s">
        <v>20</v>
      </c>
    </row>
    <row r="75" customFormat="false" ht="15" hidden="false" customHeight="false" outlineLevel="0" collapsed="false">
      <c r="A75" s="5" t="s">
        <v>167</v>
      </c>
      <c r="B75" s="6" t="s">
        <v>114</v>
      </c>
      <c r="C75" s="5" t="s">
        <v>168</v>
      </c>
      <c r="D75" s="9" t="s">
        <v>24</v>
      </c>
      <c r="E75" s="7" t="n">
        <v>110</v>
      </c>
      <c r="F75" s="7" t="n">
        <v>200</v>
      </c>
      <c r="G75" s="8" t="n">
        <f aca="false">IFERROR((F75-E75)/E75,"")</f>
        <v>0.818181818181818</v>
      </c>
      <c r="H75" s="5" t="n">
        <v>50</v>
      </c>
      <c r="I75" s="5" t="n">
        <v>5</v>
      </c>
      <c r="J75" s="5" t="s">
        <v>19</v>
      </c>
      <c r="K75" s="7" t="n">
        <f aca="false">IFERROR(E75*H75,"")</f>
        <v>5500</v>
      </c>
      <c r="L75" s="5" t="s">
        <v>20</v>
      </c>
    </row>
    <row r="76" customFormat="false" ht="15" hidden="false" customHeight="false" outlineLevel="0" collapsed="false">
      <c r="A76" s="5" t="s">
        <v>169</v>
      </c>
      <c r="B76" s="6" t="s">
        <v>114</v>
      </c>
      <c r="C76" s="5" t="s">
        <v>170</v>
      </c>
      <c r="D76" s="9" t="s">
        <v>24</v>
      </c>
      <c r="E76" s="7" t="n">
        <v>90</v>
      </c>
      <c r="F76" s="7" t="n">
        <v>215</v>
      </c>
      <c r="G76" s="8" t="n">
        <f aca="false">IFERROR((F76-E76)/E76,"")</f>
        <v>1.38888888888889</v>
      </c>
      <c r="H76" s="5" t="n">
        <v>50</v>
      </c>
      <c r="I76" s="5" t="n">
        <v>5</v>
      </c>
      <c r="J76" s="5" t="s">
        <v>19</v>
      </c>
      <c r="K76" s="7" t="n">
        <f aca="false">IFERROR(E76*H76,"")</f>
        <v>4500</v>
      </c>
      <c r="L76" s="5" t="s">
        <v>20</v>
      </c>
    </row>
    <row r="77" customFormat="false" ht="15" hidden="false" customHeight="false" outlineLevel="0" collapsed="false">
      <c r="A77" s="5" t="s">
        <v>171</v>
      </c>
      <c r="B77" s="6" t="s">
        <v>172</v>
      </c>
      <c r="C77" s="5" t="s">
        <v>173</v>
      </c>
      <c r="D77" s="9" t="s">
        <v>24</v>
      </c>
      <c r="E77" s="7" t="n">
        <v>18</v>
      </c>
      <c r="F77" s="7" t="n">
        <v>58</v>
      </c>
      <c r="G77" s="8" t="n">
        <f aca="false">IFERROR((F77-E77)/E77,"")</f>
        <v>2.22222222222222</v>
      </c>
      <c r="H77" s="5" t="n">
        <v>50</v>
      </c>
      <c r="I77" s="5" t="n">
        <v>5</v>
      </c>
      <c r="J77" s="5" t="s">
        <v>19</v>
      </c>
      <c r="K77" s="7" t="n">
        <f aca="false">IFERROR(E77*H77,"")</f>
        <v>900</v>
      </c>
      <c r="L77" s="5" t="s">
        <v>20</v>
      </c>
    </row>
    <row r="78" customFormat="false" ht="15" hidden="false" customHeight="false" outlineLevel="0" collapsed="false">
      <c r="A78" s="5" t="s">
        <v>174</v>
      </c>
      <c r="B78" s="6" t="s">
        <v>121</v>
      </c>
      <c r="C78" s="5" t="s">
        <v>175</v>
      </c>
      <c r="D78" s="9" t="s">
        <v>24</v>
      </c>
      <c r="E78" s="7" t="n">
        <v>2600</v>
      </c>
      <c r="F78" s="7" t="n">
        <v>3600</v>
      </c>
      <c r="G78" s="8" t="n">
        <f aca="false">IFERROR((F78-E78)/E78,"")</f>
        <v>0.384615384615385</v>
      </c>
      <c r="H78" s="5" t="n">
        <v>50</v>
      </c>
      <c r="I78" s="5" t="n">
        <v>5</v>
      </c>
      <c r="J78" s="5" t="s">
        <v>19</v>
      </c>
      <c r="K78" s="7" t="n">
        <f aca="false">IFERROR(E78*H78,"")</f>
        <v>130000</v>
      </c>
      <c r="L78" s="5" t="s">
        <v>20</v>
      </c>
    </row>
    <row r="79" customFormat="false" ht="15" hidden="false" customHeight="false" outlineLevel="0" collapsed="false">
      <c r="A79" s="5" t="s">
        <v>176</v>
      </c>
      <c r="B79" s="6" t="s">
        <v>126</v>
      </c>
      <c r="C79" s="5" t="s">
        <v>177</v>
      </c>
      <c r="D79" s="9" t="s">
        <v>24</v>
      </c>
      <c r="E79" s="7" t="n">
        <v>20</v>
      </c>
      <c r="F79" s="7" t="n">
        <v>300</v>
      </c>
      <c r="G79" s="8" t="n">
        <f aca="false">IFERROR((F79-E79)/E79,"")</f>
        <v>14</v>
      </c>
      <c r="H79" s="5" t="n">
        <v>50</v>
      </c>
      <c r="I79" s="5" t="n">
        <v>5</v>
      </c>
      <c r="J79" s="5" t="s">
        <v>19</v>
      </c>
      <c r="K79" s="7" t="n">
        <f aca="false">IFERROR(E79*H79,"")</f>
        <v>1000</v>
      </c>
      <c r="L79" s="5" t="s">
        <v>20</v>
      </c>
    </row>
    <row r="80" customFormat="false" ht="15" hidden="false" customHeight="false" outlineLevel="0" collapsed="false">
      <c r="A80" s="5" t="s">
        <v>178</v>
      </c>
      <c r="B80" s="6" t="s">
        <v>126</v>
      </c>
      <c r="C80" s="5" t="s">
        <v>179</v>
      </c>
      <c r="D80" s="9" t="s">
        <v>24</v>
      </c>
      <c r="E80" s="7" t="n">
        <v>128</v>
      </c>
      <c r="F80" s="7" t="n">
        <v>250</v>
      </c>
      <c r="G80" s="8" t="n">
        <f aca="false">IFERROR((F80-E80)/E80,"")</f>
        <v>0.953125</v>
      </c>
      <c r="H80" s="5" t="n">
        <v>50</v>
      </c>
      <c r="I80" s="5" t="n">
        <v>5</v>
      </c>
      <c r="J80" s="5" t="s">
        <v>19</v>
      </c>
      <c r="K80" s="7" t="n">
        <f aca="false">IFERROR(E80*H80,"")</f>
        <v>6400</v>
      </c>
      <c r="L80" s="5" t="s">
        <v>20</v>
      </c>
    </row>
    <row r="81" customFormat="false" ht="15" hidden="false" customHeight="false" outlineLevel="0" collapsed="false">
      <c r="A81" s="5" t="s">
        <v>180</v>
      </c>
      <c r="B81" s="6" t="s">
        <v>126</v>
      </c>
      <c r="C81" s="5" t="s">
        <v>181</v>
      </c>
      <c r="D81" s="9" t="s">
        <v>24</v>
      </c>
      <c r="E81" s="7" t="n">
        <v>1600</v>
      </c>
      <c r="F81" s="7" t="n">
        <v>1790</v>
      </c>
      <c r="G81" s="8" t="n">
        <f aca="false">IFERROR((F81-E81)/E81,"")</f>
        <v>0.11875</v>
      </c>
      <c r="H81" s="5" t="n">
        <v>50</v>
      </c>
      <c r="I81" s="5" t="n">
        <v>5</v>
      </c>
      <c r="J81" s="5" t="s">
        <v>19</v>
      </c>
      <c r="K81" s="7" t="n">
        <f aca="false">IFERROR(E81*H81,"")</f>
        <v>80000</v>
      </c>
      <c r="L81" s="5" t="s">
        <v>20</v>
      </c>
    </row>
    <row r="82" customFormat="false" ht="15" hidden="false" customHeight="false" outlineLevel="0" collapsed="false">
      <c r="A82" s="5" t="s">
        <v>182</v>
      </c>
      <c r="B82" s="6" t="s">
        <v>114</v>
      </c>
      <c r="C82" s="5" t="s">
        <v>183</v>
      </c>
      <c r="D82" s="9" t="s">
        <v>24</v>
      </c>
      <c r="E82" s="7" t="n">
        <v>120</v>
      </c>
      <c r="F82" s="7" t="n">
        <v>650</v>
      </c>
      <c r="G82" s="8" t="n">
        <f aca="false">IFERROR((F82-E82)/E82,"")</f>
        <v>4.41666666666667</v>
      </c>
      <c r="H82" s="5" t="n">
        <v>50</v>
      </c>
      <c r="I82" s="5" t="n">
        <v>5</v>
      </c>
      <c r="J82" s="5" t="s">
        <v>19</v>
      </c>
      <c r="K82" s="7" t="n">
        <f aca="false">IFERROR(E82*H82,"")</f>
        <v>6000</v>
      </c>
      <c r="L82" s="5" t="s">
        <v>20</v>
      </c>
    </row>
    <row r="83" customFormat="false" ht="15" hidden="false" customHeight="false" outlineLevel="0" collapsed="false">
      <c r="A83" s="5" t="s">
        <v>184</v>
      </c>
      <c r="B83" s="6" t="s">
        <v>185</v>
      </c>
      <c r="C83" s="5" t="s">
        <v>186</v>
      </c>
      <c r="D83" s="5" t="s">
        <v>187</v>
      </c>
      <c r="E83" s="7" t="n">
        <v>4450</v>
      </c>
      <c r="F83" s="7" t="n">
        <v>5300</v>
      </c>
      <c r="G83" s="8" t="n">
        <f aca="false">IFERROR((F83-E83)/E83,"")</f>
        <v>0.191011235955056</v>
      </c>
      <c r="H83" s="5" t="n">
        <v>50</v>
      </c>
      <c r="I83" s="5" t="n">
        <v>5</v>
      </c>
      <c r="J83" s="5" t="s">
        <v>19</v>
      </c>
      <c r="K83" s="7" t="n">
        <f aca="false">IFERROR(E83*H83,"")</f>
        <v>222500</v>
      </c>
      <c r="L83" s="5" t="s">
        <v>20</v>
      </c>
    </row>
    <row r="84" customFormat="false" ht="15" hidden="false" customHeight="false" outlineLevel="0" collapsed="false">
      <c r="A84" s="5" t="s">
        <v>188</v>
      </c>
      <c r="B84" s="6" t="s">
        <v>185</v>
      </c>
      <c r="C84" s="5" t="s">
        <v>189</v>
      </c>
      <c r="D84" s="5" t="s">
        <v>187</v>
      </c>
      <c r="E84" s="7" t="n">
        <v>3300</v>
      </c>
      <c r="F84" s="7" t="n">
        <v>5200</v>
      </c>
      <c r="G84" s="8" t="n">
        <f aca="false">IFERROR((F84-E84)/E84,"")</f>
        <v>0.575757575757576</v>
      </c>
      <c r="H84" s="5" t="n">
        <v>50</v>
      </c>
      <c r="I84" s="5" t="n">
        <v>5</v>
      </c>
      <c r="J84" s="5" t="s">
        <v>19</v>
      </c>
      <c r="K84" s="7" t="n">
        <f aca="false">IFERROR(E84*H84,"")</f>
        <v>165000</v>
      </c>
      <c r="L84" s="5" t="s">
        <v>20</v>
      </c>
    </row>
    <row r="85" customFormat="false" ht="15" hidden="false" customHeight="false" outlineLevel="0" collapsed="false">
      <c r="A85" s="5" t="s">
        <v>190</v>
      </c>
      <c r="B85" s="6" t="s">
        <v>185</v>
      </c>
      <c r="C85" s="5" t="s">
        <v>191</v>
      </c>
      <c r="D85" s="5" t="s">
        <v>187</v>
      </c>
      <c r="E85" s="7" t="n">
        <v>5600</v>
      </c>
      <c r="F85" s="7" t="n">
        <v>6200</v>
      </c>
      <c r="G85" s="8" t="n">
        <f aca="false">IFERROR((F85-E85)/E85,"")</f>
        <v>0.107142857142857</v>
      </c>
      <c r="H85" s="5" t="n">
        <v>50</v>
      </c>
      <c r="I85" s="5" t="n">
        <v>5</v>
      </c>
      <c r="J85" s="5" t="s">
        <v>19</v>
      </c>
      <c r="K85" s="7" t="n">
        <f aca="false">IFERROR(E85*H85,"")</f>
        <v>280000</v>
      </c>
      <c r="L85" s="5" t="s">
        <v>20</v>
      </c>
    </row>
    <row r="86" customFormat="false" ht="15" hidden="false" customHeight="false" outlineLevel="0" collapsed="false">
      <c r="A86" s="5" t="s">
        <v>192</v>
      </c>
      <c r="B86" s="6" t="s">
        <v>185</v>
      </c>
      <c r="C86" s="5" t="s">
        <v>193</v>
      </c>
      <c r="D86" s="5" t="s">
        <v>187</v>
      </c>
      <c r="E86" s="7" t="n">
        <v>1618</v>
      </c>
      <c r="F86" s="7" t="n">
        <v>2100</v>
      </c>
      <c r="G86" s="8" t="n">
        <f aca="false">IFERROR((F86-E86)/E86,"")</f>
        <v>0.297898640296663</v>
      </c>
      <c r="H86" s="5" t="n">
        <v>50</v>
      </c>
      <c r="I86" s="5" t="n">
        <v>5</v>
      </c>
      <c r="J86" s="5" t="s">
        <v>19</v>
      </c>
      <c r="K86" s="7" t="n">
        <f aca="false">IFERROR(E86*H86,"")</f>
        <v>80900</v>
      </c>
      <c r="L86" s="5" t="s">
        <v>20</v>
      </c>
    </row>
    <row r="87" customFormat="false" ht="15" hidden="false" customHeight="false" outlineLevel="0" collapsed="false">
      <c r="A87" s="5" t="s">
        <v>194</v>
      </c>
      <c r="B87" s="6" t="s">
        <v>185</v>
      </c>
      <c r="C87" s="5" t="s">
        <v>195</v>
      </c>
      <c r="D87" s="5" t="s">
        <v>196</v>
      </c>
      <c r="E87" s="7" t="n">
        <v>1600</v>
      </c>
      <c r="F87" s="7" t="n">
        <v>2250</v>
      </c>
      <c r="G87" s="8" t="n">
        <f aca="false">IFERROR((F87-E87)/E87,"")</f>
        <v>0.40625</v>
      </c>
      <c r="H87" s="5" t="n">
        <v>50</v>
      </c>
      <c r="I87" s="5" t="n">
        <v>5</v>
      </c>
      <c r="J87" s="5" t="s">
        <v>19</v>
      </c>
      <c r="K87" s="7" t="n">
        <f aca="false">IFERROR(E87*H87,"")</f>
        <v>80000</v>
      </c>
      <c r="L87" s="5" t="s">
        <v>20</v>
      </c>
    </row>
    <row r="88" customFormat="false" ht="15" hidden="false" customHeight="false" outlineLevel="0" collapsed="false">
      <c r="A88" s="5" t="s">
        <v>197</v>
      </c>
      <c r="B88" s="6" t="s">
        <v>185</v>
      </c>
      <c r="C88" s="5" t="s">
        <v>198</v>
      </c>
      <c r="D88" s="5" t="s">
        <v>196</v>
      </c>
      <c r="E88" s="7" t="n">
        <v>2975</v>
      </c>
      <c r="F88" s="7" t="n">
        <v>3800</v>
      </c>
      <c r="G88" s="8" t="n">
        <f aca="false">IFERROR((F88-E88)/E88,"")</f>
        <v>0.277310924369748</v>
      </c>
      <c r="H88" s="5" t="n">
        <v>50</v>
      </c>
      <c r="I88" s="5" t="n">
        <v>5</v>
      </c>
      <c r="J88" s="5" t="s">
        <v>19</v>
      </c>
      <c r="K88" s="7" t="n">
        <f aca="false">IFERROR(E88*H88,"")</f>
        <v>148750</v>
      </c>
      <c r="L88" s="5" t="s">
        <v>20</v>
      </c>
    </row>
    <row r="89" customFormat="false" ht="15" hidden="false" customHeight="false" outlineLevel="0" collapsed="false">
      <c r="A89" s="5" t="s">
        <v>199</v>
      </c>
      <c r="B89" s="6" t="s">
        <v>185</v>
      </c>
      <c r="C89" s="5" t="s">
        <v>200</v>
      </c>
      <c r="D89" s="5" t="s">
        <v>196</v>
      </c>
      <c r="E89" s="7" t="n">
        <v>3691</v>
      </c>
      <c r="F89" s="7" t="n">
        <v>4950</v>
      </c>
      <c r="G89" s="8" t="n">
        <f aca="false">IFERROR((F89-E89)/E89,"")</f>
        <v>0.341099972907071</v>
      </c>
      <c r="H89" s="5" t="n">
        <v>50</v>
      </c>
      <c r="I89" s="5" t="n">
        <v>5</v>
      </c>
      <c r="J89" s="5" t="s">
        <v>19</v>
      </c>
      <c r="K89" s="7" t="n">
        <f aca="false">IFERROR(E89*H89,"")</f>
        <v>184550</v>
      </c>
      <c r="L89" s="5" t="s">
        <v>20</v>
      </c>
    </row>
    <row r="90" customFormat="false" ht="15" hidden="false" customHeight="false" outlineLevel="0" collapsed="false">
      <c r="A90" s="5" t="s">
        <v>201</v>
      </c>
      <c r="B90" s="6" t="s">
        <v>185</v>
      </c>
      <c r="C90" s="5" t="s">
        <v>202</v>
      </c>
      <c r="D90" s="5" t="s">
        <v>196</v>
      </c>
      <c r="E90" s="7" t="n">
        <v>950</v>
      </c>
      <c r="F90" s="7" t="n">
        <v>1350</v>
      </c>
      <c r="G90" s="8" t="n">
        <f aca="false">IFERROR((F90-E90)/E90,"")</f>
        <v>0.421052631578947</v>
      </c>
      <c r="H90" s="5" t="n">
        <v>50</v>
      </c>
      <c r="I90" s="5" t="n">
        <v>5</v>
      </c>
      <c r="J90" s="5" t="s">
        <v>19</v>
      </c>
      <c r="K90" s="7" t="n">
        <f aca="false">IFERROR(E90*H90,"")</f>
        <v>47500</v>
      </c>
      <c r="L90" s="5" t="s">
        <v>20</v>
      </c>
    </row>
    <row r="91" customFormat="false" ht="15" hidden="false" customHeight="false" outlineLevel="0" collapsed="false">
      <c r="A91" s="5" t="s">
        <v>203</v>
      </c>
      <c r="B91" s="6" t="s">
        <v>185</v>
      </c>
      <c r="C91" s="5" t="s">
        <v>204</v>
      </c>
      <c r="D91" s="5" t="s">
        <v>196</v>
      </c>
      <c r="E91" s="7" t="n">
        <v>1050</v>
      </c>
      <c r="F91" s="7" t="n">
        <v>1480</v>
      </c>
      <c r="G91" s="8" t="n">
        <f aca="false">IFERROR((F91-E91)/E91,"")</f>
        <v>0.40952380952381</v>
      </c>
      <c r="H91" s="5" t="n">
        <v>50</v>
      </c>
      <c r="I91" s="5" t="n">
        <v>5</v>
      </c>
      <c r="J91" s="5" t="s">
        <v>19</v>
      </c>
      <c r="K91" s="7" t="n">
        <f aca="false">IFERROR(E91*H91,"")</f>
        <v>52500</v>
      </c>
      <c r="L91" s="5" t="s">
        <v>20</v>
      </c>
    </row>
    <row r="92" customFormat="false" ht="15" hidden="false" customHeight="false" outlineLevel="0" collapsed="false">
      <c r="A92" s="5" t="s">
        <v>205</v>
      </c>
      <c r="B92" s="6" t="s">
        <v>185</v>
      </c>
      <c r="C92" s="5" t="s">
        <v>206</v>
      </c>
      <c r="D92" s="5" t="s">
        <v>196</v>
      </c>
      <c r="E92" s="7" t="n">
        <v>1100</v>
      </c>
      <c r="F92" s="7" t="n">
        <v>1580</v>
      </c>
      <c r="G92" s="8" t="n">
        <f aca="false">IFERROR((F92-E92)/E92,"")</f>
        <v>0.436363636363636</v>
      </c>
      <c r="H92" s="5" t="n">
        <v>50</v>
      </c>
      <c r="I92" s="5" t="n">
        <v>5</v>
      </c>
      <c r="J92" s="5" t="s">
        <v>19</v>
      </c>
      <c r="K92" s="7" t="n">
        <f aca="false">IFERROR(E92*H92,"")</f>
        <v>55000</v>
      </c>
      <c r="L92" s="5" t="s">
        <v>20</v>
      </c>
    </row>
    <row r="93" customFormat="false" ht="15" hidden="false" customHeight="false" outlineLevel="0" collapsed="false">
      <c r="A93" s="5" t="s">
        <v>207</v>
      </c>
      <c r="B93" s="6" t="s">
        <v>185</v>
      </c>
      <c r="C93" s="5" t="s">
        <v>208</v>
      </c>
      <c r="D93" s="5" t="s">
        <v>196</v>
      </c>
      <c r="E93" s="7" t="n">
        <v>1050</v>
      </c>
      <c r="F93" s="7" t="n">
        <v>1580</v>
      </c>
      <c r="G93" s="8" t="n">
        <f aca="false">IFERROR((F93-E93)/E93,"")</f>
        <v>0.504761904761905</v>
      </c>
      <c r="H93" s="5" t="n">
        <v>50</v>
      </c>
      <c r="I93" s="5" t="n">
        <v>5</v>
      </c>
      <c r="J93" s="5" t="s">
        <v>19</v>
      </c>
      <c r="K93" s="7" t="n">
        <f aca="false">IFERROR(E93*H93,"")</f>
        <v>52500</v>
      </c>
      <c r="L93" s="5" t="s">
        <v>20</v>
      </c>
    </row>
    <row r="94" customFormat="false" ht="15" hidden="false" customHeight="false" outlineLevel="0" collapsed="false">
      <c r="A94" s="5" t="s">
        <v>209</v>
      </c>
      <c r="B94" s="6" t="s">
        <v>185</v>
      </c>
      <c r="C94" s="5" t="s">
        <v>210</v>
      </c>
      <c r="D94" s="5" t="s">
        <v>211</v>
      </c>
      <c r="E94" s="7" t="n">
        <v>1881</v>
      </c>
      <c r="F94" s="7" t="n">
        <v>3500</v>
      </c>
      <c r="G94" s="8" t="n">
        <f aca="false">IFERROR((F94-E94)/E94,"")</f>
        <v>0.860712387028177</v>
      </c>
      <c r="H94" s="5" t="n">
        <v>50</v>
      </c>
      <c r="I94" s="5" t="n">
        <v>5</v>
      </c>
      <c r="J94" s="5" t="s">
        <v>19</v>
      </c>
      <c r="K94" s="7" t="n">
        <f aca="false">IFERROR(E94*H94,"")</f>
        <v>94050</v>
      </c>
      <c r="L94" s="5" t="s">
        <v>20</v>
      </c>
    </row>
    <row r="95" customFormat="false" ht="15" hidden="false" customHeight="false" outlineLevel="0" collapsed="false">
      <c r="A95" s="5" t="s">
        <v>212</v>
      </c>
      <c r="B95" s="6" t="s">
        <v>185</v>
      </c>
      <c r="C95" s="5" t="s">
        <v>213</v>
      </c>
      <c r="D95" s="5" t="s">
        <v>214</v>
      </c>
      <c r="E95" s="7" t="n">
        <v>2180</v>
      </c>
      <c r="F95" s="7" t="n">
        <v>3800</v>
      </c>
      <c r="G95" s="8" t="n">
        <f aca="false">IFERROR((F95-E95)/E95,"")</f>
        <v>0.743119266055046</v>
      </c>
      <c r="H95" s="5" t="n">
        <v>50</v>
      </c>
      <c r="I95" s="5" t="n">
        <v>5</v>
      </c>
      <c r="J95" s="5" t="s">
        <v>19</v>
      </c>
      <c r="K95" s="7" t="n">
        <f aca="false">IFERROR(E95*H95,"")</f>
        <v>109000</v>
      </c>
      <c r="L95" s="5" t="s">
        <v>20</v>
      </c>
    </row>
    <row r="96" customFormat="false" ht="15" hidden="false" customHeight="false" outlineLevel="0" collapsed="false">
      <c r="C96" s="12" t="s">
        <v>215</v>
      </c>
      <c r="H96" s="12" t="n">
        <f aca="false">SUM(H6:H95)</f>
        <v>4500</v>
      </c>
      <c r="K96" s="13" t="n">
        <f aca="false">SUM(K6:K95)</f>
        <v>3691500</v>
      </c>
      <c r="L96" s="12" t="str">
        <f aca="false">COUNTIF(L6:L95,"READY")&amp;" of "&amp;COUNTA(L6:L95)&amp;" ready"</f>
        <v>73 of 90 ready</v>
      </c>
    </row>
    <row r="98" customFormat="false" ht="15" hidden="false" customHeight="false" outlineLevel="0" collapsed="false">
      <c r="A98" s="12" t="s">
        <v>216</v>
      </c>
    </row>
    <row r="99" customFormat="false" ht="15" hidden="false" customHeight="false" outlineLevel="0" collapsed="false">
      <c r="A99" s="2" t="s">
        <v>217</v>
      </c>
    </row>
    <row r="100" customFormat="false" ht="15" hidden="false" customHeight="false" outlineLevel="0" collapsed="false">
      <c r="A100" s="2" t="s">
        <v>218</v>
      </c>
    </row>
    <row r="101" customFormat="false" ht="15" hidden="false" customHeight="false" outlineLevel="0" collapsed="false">
      <c r="A101" s="2" t="s">
        <v>219</v>
      </c>
    </row>
    <row r="102" customFormat="false" ht="15" hidden="false" customHeight="false" outlineLevel="0" collapsed="false">
      <c r="A102" s="2" t="s">
        <v>220</v>
      </c>
    </row>
    <row r="103" customFormat="false" ht="15" hidden="false" customHeight="false" outlineLevel="0" collapsed="false">
      <c r="A103" s="2" t="s">
        <v>221</v>
      </c>
    </row>
    <row r="104" customFormat="false" ht="15" hidden="false" customHeight="false" outlineLevel="0" collapsed="false">
      <c r="A104" s="2" t="s">
        <v>222</v>
      </c>
    </row>
    <row r="105" customFormat="false" ht="15" hidden="false" customHeight="false" outlineLevel="0" collapsed="false">
      <c r="A105" s="2" t="s">
        <v>223</v>
      </c>
    </row>
  </sheetData>
  <autoFilter ref="A5:L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224</v>
      </c>
    </row>
    <row r="2" customFormat="false" ht="15" hidden="false" customHeight="false" outlineLevel="0" collapsed="false">
      <c r="A2" s="2" t="s">
        <v>225</v>
      </c>
    </row>
    <row r="4" customFormat="false" ht="15" hidden="false" customHeight="false" outlineLevel="0" collapsed="false">
      <c r="A4" s="14" t="s">
        <v>226</v>
      </c>
      <c r="B4" s="14" t="s">
        <v>4</v>
      </c>
      <c r="C4" s="14" t="s">
        <v>227</v>
      </c>
    </row>
    <row r="5" customFormat="false" ht="15" hidden="false" customHeight="false" outlineLevel="0" collapsed="false">
      <c r="A5" s="5" t="s">
        <v>187</v>
      </c>
      <c r="B5" s="5" t="s">
        <v>185</v>
      </c>
      <c r="C5" s="5" t="s">
        <v>228</v>
      </c>
    </row>
    <row r="6" customFormat="false" ht="15" hidden="false" customHeight="false" outlineLevel="0" collapsed="false">
      <c r="A6" s="5" t="s">
        <v>152</v>
      </c>
      <c r="B6" s="5" t="s">
        <v>126</v>
      </c>
      <c r="C6" s="5" t="s">
        <v>229</v>
      </c>
    </row>
    <row r="7" customFormat="false" ht="15" hidden="false" customHeight="false" outlineLevel="0" collapsed="false">
      <c r="A7" s="5" t="s">
        <v>196</v>
      </c>
      <c r="B7" s="5" t="s">
        <v>185</v>
      </c>
      <c r="C7" s="5" t="s">
        <v>228</v>
      </c>
    </row>
    <row r="8" customFormat="false" ht="15" hidden="false" customHeight="false" outlineLevel="0" collapsed="false">
      <c r="A8" s="5" t="s">
        <v>214</v>
      </c>
      <c r="B8" s="5" t="s">
        <v>185</v>
      </c>
      <c r="C8" s="5" t="s">
        <v>228</v>
      </c>
    </row>
    <row r="9" customFormat="false" ht="15" hidden="false" customHeight="false" outlineLevel="0" collapsed="false">
      <c r="A9" s="5" t="s">
        <v>149</v>
      </c>
      <c r="B9" s="5" t="s">
        <v>126</v>
      </c>
      <c r="C9" s="5" t="s">
        <v>229</v>
      </c>
    </row>
    <row r="10" customFormat="false" ht="15" hidden="false" customHeight="false" outlineLevel="0" collapsed="false">
      <c r="A10" s="5" t="s">
        <v>18</v>
      </c>
      <c r="B10" s="5" t="s">
        <v>16</v>
      </c>
      <c r="C10" s="5" t="s">
        <v>228</v>
      </c>
    </row>
    <row r="11" customFormat="false" ht="15" hidden="false" customHeight="false" outlineLevel="0" collapsed="false">
      <c r="A11" s="5" t="s">
        <v>211</v>
      </c>
      <c r="B11" s="5" t="s">
        <v>185</v>
      </c>
      <c r="C11" s="5" t="s">
        <v>228</v>
      </c>
    </row>
    <row r="12" customFormat="false" ht="15" hidden="false" customHeight="false" outlineLevel="0" collapsed="false">
      <c r="A12" s="9" t="s">
        <v>24</v>
      </c>
      <c r="B12" s="5" t="s">
        <v>121</v>
      </c>
      <c r="C12" s="5" t="s">
        <v>230</v>
      </c>
    </row>
    <row r="13" customFormat="false" ht="15" hidden="false" customHeight="false" outlineLevel="0" collapsed="false">
      <c r="A13" s="9" t="s">
        <v>24</v>
      </c>
      <c r="B13" s="5" t="s">
        <v>89</v>
      </c>
      <c r="C13" s="5" t="s">
        <v>230</v>
      </c>
    </row>
    <row r="14" customFormat="false" ht="15" hidden="false" customHeight="false" outlineLevel="0" collapsed="false">
      <c r="A14" s="9" t="s">
        <v>24</v>
      </c>
      <c r="B14" s="5" t="s">
        <v>172</v>
      </c>
      <c r="C14" s="5" t="s">
        <v>230</v>
      </c>
    </row>
    <row r="15" customFormat="false" ht="15" hidden="false" customHeight="false" outlineLevel="0" collapsed="false">
      <c r="A15" s="9" t="s">
        <v>24</v>
      </c>
      <c r="B15" s="5" t="s">
        <v>114</v>
      </c>
      <c r="C15" s="5" t="s">
        <v>230</v>
      </c>
    </row>
    <row r="16" customFormat="false" ht="15" hidden="false" customHeight="false" outlineLevel="0" collapsed="false">
      <c r="A16" s="9" t="s">
        <v>24</v>
      </c>
      <c r="B16" s="5" t="s">
        <v>126</v>
      </c>
      <c r="C16" s="5" t="s">
        <v>230</v>
      </c>
    </row>
    <row r="17" customFormat="false" ht="15" hidden="false" customHeight="false" outlineLevel="0" collapsed="false">
      <c r="A17" s="9" t="s">
        <v>24</v>
      </c>
      <c r="B17" s="5" t="s">
        <v>22</v>
      </c>
      <c r="C17" s="5" t="s">
        <v>230</v>
      </c>
    </row>
    <row r="18" customFormat="false" ht="15" hidden="false" customHeight="false" outlineLevel="0" collapsed="false">
      <c r="A18" s="5" t="s">
        <v>146</v>
      </c>
      <c r="B18" s="5" t="s">
        <v>126</v>
      </c>
      <c r="C18" s="5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52"/>
    <col collapsed="false" customWidth="true" hidden="false" outlineLevel="0" max="5" min="5" style="0" width="46"/>
  </cols>
  <sheetData>
    <row r="1" customFormat="false" ht="16.15" hidden="false" customHeight="false" outlineLevel="0" collapsed="false">
      <c r="A1" s="1" t="s">
        <v>231</v>
      </c>
    </row>
    <row r="2" customFormat="false" ht="15" hidden="false" customHeight="false" outlineLevel="0" collapsed="false">
      <c r="A2" s="2" t="s">
        <v>232</v>
      </c>
    </row>
    <row r="4" customFormat="false" ht="15" hidden="false" customHeight="false" outlineLevel="0" collapsed="false">
      <c r="A4" s="14" t="s">
        <v>233</v>
      </c>
      <c r="B4" s="14" t="s">
        <v>234</v>
      </c>
      <c r="C4" s="14" t="s">
        <v>235</v>
      </c>
      <c r="D4" s="14" t="s">
        <v>236</v>
      </c>
      <c r="E4" s="14" t="s">
        <v>237</v>
      </c>
    </row>
    <row r="5" customFormat="false" ht="33.75" hidden="false" customHeight="true" outlineLevel="0" collapsed="false">
      <c r="A5" s="15" t="n">
        <v>1</v>
      </c>
      <c r="B5" s="16" t="s">
        <v>238</v>
      </c>
      <c r="C5" s="17" t="s">
        <v>239</v>
      </c>
      <c r="D5" s="17" t="s">
        <v>240</v>
      </c>
      <c r="E5" s="17" t="s">
        <v>241</v>
      </c>
    </row>
    <row r="6" customFormat="false" ht="33.75" hidden="false" customHeight="true" outlineLevel="0" collapsed="false">
      <c r="A6" s="15" t="n">
        <v>2</v>
      </c>
      <c r="B6" s="16" t="s">
        <v>238</v>
      </c>
      <c r="C6" s="17" t="s">
        <v>242</v>
      </c>
      <c r="D6" s="17" t="s">
        <v>243</v>
      </c>
      <c r="E6" s="17" t="s">
        <v>244</v>
      </c>
    </row>
    <row r="7" customFormat="false" ht="33.75" hidden="false" customHeight="true" outlineLevel="0" collapsed="false">
      <c r="A7" s="15" t="n">
        <v>3</v>
      </c>
      <c r="B7" s="16" t="s">
        <v>238</v>
      </c>
      <c r="C7" s="17" t="s">
        <v>245</v>
      </c>
      <c r="D7" s="17" t="s">
        <v>246</v>
      </c>
      <c r="E7" s="17" t="s">
        <v>247</v>
      </c>
    </row>
    <row r="8" customFormat="false" ht="33.75" hidden="false" customHeight="true" outlineLevel="0" collapsed="false">
      <c r="A8" s="15" t="n">
        <v>4</v>
      </c>
      <c r="B8" s="18" t="s">
        <v>248</v>
      </c>
      <c r="C8" s="17" t="s">
        <v>249</v>
      </c>
      <c r="D8" s="17" t="s">
        <v>250</v>
      </c>
      <c r="E8" s="17" t="s">
        <v>251</v>
      </c>
    </row>
    <row r="9" customFormat="false" ht="33.75" hidden="false" customHeight="true" outlineLevel="0" collapsed="false">
      <c r="A9" s="15" t="n">
        <v>5</v>
      </c>
      <c r="B9" s="18" t="s">
        <v>248</v>
      </c>
      <c r="C9" s="17" t="s">
        <v>252</v>
      </c>
      <c r="D9" s="17" t="s">
        <v>253</v>
      </c>
      <c r="E9" s="17" t="s">
        <v>254</v>
      </c>
    </row>
    <row r="10" customFormat="false" ht="33.75" hidden="false" customHeight="true" outlineLevel="0" collapsed="false">
      <c r="A10" s="15" t="n">
        <v>6</v>
      </c>
      <c r="B10" s="18" t="s">
        <v>248</v>
      </c>
      <c r="C10" s="17" t="s">
        <v>177</v>
      </c>
      <c r="D10" s="17" t="s">
        <v>255</v>
      </c>
      <c r="E10" s="17" t="s">
        <v>256</v>
      </c>
    </row>
    <row r="11" customFormat="false" ht="33.75" hidden="false" customHeight="true" outlineLevel="0" collapsed="false">
      <c r="A11" s="15" t="n">
        <v>7</v>
      </c>
      <c r="B11" s="18" t="s">
        <v>248</v>
      </c>
      <c r="C11" s="17" t="s">
        <v>257</v>
      </c>
      <c r="D11" s="17" t="s">
        <v>258</v>
      </c>
      <c r="E11" s="17" t="s">
        <v>259</v>
      </c>
    </row>
    <row r="12" customFormat="false" ht="33.75" hidden="false" customHeight="true" outlineLevel="0" collapsed="false">
      <c r="A12" s="15" t="n">
        <v>8</v>
      </c>
      <c r="B12" s="18" t="s">
        <v>248</v>
      </c>
      <c r="C12" s="17" t="s">
        <v>260</v>
      </c>
      <c r="D12" s="17" t="s">
        <v>261</v>
      </c>
      <c r="E12" s="17" t="s">
        <v>262</v>
      </c>
    </row>
    <row r="13" customFormat="false" ht="33.75" hidden="false" customHeight="true" outlineLevel="0" collapsed="false">
      <c r="A13" s="15" t="n">
        <v>9</v>
      </c>
      <c r="B13" s="19" t="s">
        <v>263</v>
      </c>
      <c r="C13" s="17" t="s">
        <v>264</v>
      </c>
      <c r="D13" s="17" t="s">
        <v>265</v>
      </c>
      <c r="E13" s="17" t="s">
        <v>266</v>
      </c>
    </row>
    <row r="14" customFormat="false" ht="33.75" hidden="false" customHeight="true" outlineLevel="0" collapsed="false">
      <c r="A14" s="15" t="n">
        <v>10</v>
      </c>
      <c r="B14" s="19" t="s">
        <v>263</v>
      </c>
      <c r="C14" s="17" t="s">
        <v>183</v>
      </c>
      <c r="D14" s="17" t="s">
        <v>267</v>
      </c>
      <c r="E14" s="17" t="s">
        <v>268</v>
      </c>
    </row>
    <row r="15" customFormat="false" ht="33.75" hidden="false" customHeight="true" outlineLevel="0" collapsed="false">
      <c r="A15" s="15" t="n">
        <v>11</v>
      </c>
      <c r="B15" s="19" t="s">
        <v>263</v>
      </c>
      <c r="C15" s="17" t="s">
        <v>269</v>
      </c>
      <c r="D15" s="17" t="s">
        <v>270</v>
      </c>
      <c r="E15" s="17" t="s">
        <v>271</v>
      </c>
    </row>
    <row r="16" customFormat="false" ht="33.75" hidden="false" customHeight="true" outlineLevel="0" collapsed="false">
      <c r="A16" s="15" t="n">
        <v>12</v>
      </c>
      <c r="B16" s="20" t="s">
        <v>272</v>
      </c>
      <c r="C16" s="17" t="s">
        <v>273</v>
      </c>
      <c r="D16" s="17" t="s">
        <v>274</v>
      </c>
      <c r="E16" s="17" t="s">
        <v>275</v>
      </c>
    </row>
    <row r="17" customFormat="false" ht="33.75" hidden="false" customHeight="true" outlineLevel="0" collapsed="false">
      <c r="A17" s="15" t="n">
        <v>13</v>
      </c>
      <c r="B17" s="20" t="s">
        <v>272</v>
      </c>
      <c r="C17" s="17" t="s">
        <v>276</v>
      </c>
      <c r="D17" s="17" t="s">
        <v>277</v>
      </c>
      <c r="E17" s="17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2026-08-23T11:07:24Z</dcterms:created>
  <dc:creator>openpyxl</dc:creator>
  <dc:description/>
  <dc:language>en-US</dc:language>
  <cp:lastModifiedBy/>
  <dcterms:modified xsi:type="dcterms:W3CDTF">2026-08-23T11:07:24Z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